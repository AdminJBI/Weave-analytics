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vmlDrawing2.vml" ContentType="application/vnd.openxmlformats-officedocument.vmlDrawing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vmlDrawing5.vml" ContentType="application/vnd.openxmlformats-officedocument.vmlDrawing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1 Single Cash Flow" sheetId="2" state="visible" r:id="rId4"/>
    <sheet name="2 Multiple Cash Flows" sheetId="3" state="visible" r:id="rId5"/>
    <sheet name="3 Perpetuities" sheetId="4" state="visible" r:id="rId6"/>
    <sheet name="4 Annuities" sheetId="5" state="visible" r:id="rId7"/>
    <sheet name="5 Credit Card Schedule" sheetId="6" state="visible" r:id="rId8"/>
    <sheet name="6 Compounding &amp; EAR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Aunt example, slide 15: $500 thousand saved today</t>
        </r>
      </text>
    </comment>
    <comment ref="B8" authorId="0">
      <text>
        <r>
          <rPr>
            <sz val="10"/>
            <rFont val="Arial"/>
            <family val="2"/>
          </rPr>
          <t xml:space="preserve">Aunt example, slide 15: retire with $4 million = 4,000 thousand</t>
        </r>
      </text>
    </comment>
    <comment ref="B9" authorId="0">
      <text>
        <r>
          <rPr>
            <sz val="10"/>
            <rFont val="Arial"/>
            <family val="2"/>
          </rPr>
          <t xml:space="preserve">Aunt example, slide 15: 8% per year</t>
        </r>
      </text>
    </comment>
    <comment ref="B10" authorId="0">
      <text>
        <r>
          <rPr>
            <sz val="10"/>
            <rFont val="Arial"/>
            <family val="2"/>
          </rPr>
          <t xml:space="preserve">Left blank because we are solving for T in the default set-up</t>
        </r>
      </text>
    </comment>
    <comment ref="J22" authorId="0">
      <text>
        <r>
          <rPr>
            <sz val="10"/>
            <rFont val="Arial"/>
            <family val="2"/>
          </rPr>
          <t xml:space="preserve">Source: lecture slide 6–7 (compound_interest_formulas.pdf)</t>
        </r>
      </text>
    </comment>
    <comment ref="J23" authorId="0">
      <text>
        <r>
          <rPr>
            <sz val="10"/>
            <rFont val="Arial"/>
            <family val="2"/>
          </rPr>
          <t xml:space="preserve">Source: lecture slide 6–7 (compound_interest_formulas.pdf)</t>
        </r>
      </text>
    </comment>
    <comment ref="J24" authorId="0">
      <text>
        <r>
          <rPr>
            <sz val="10"/>
            <rFont val="Arial"/>
            <family val="2"/>
          </rPr>
          <t xml:space="preserve">Source: lecture slide 10–11 (compound_interest_formulas.pdf)</t>
        </r>
      </text>
    </comment>
    <comment ref="J25" authorId="0">
      <text>
        <r>
          <rPr>
            <sz val="10"/>
            <rFont val="Arial"/>
            <family val="2"/>
          </rPr>
          <t xml:space="preserve">Source: lecture slide 10–11 (compound_interest_formulas.pdf)</t>
        </r>
      </text>
    </comment>
    <comment ref="J26" authorId="0">
      <text>
        <r>
          <rPr>
            <sz val="10"/>
            <rFont val="Arial"/>
            <family val="2"/>
          </rPr>
          <t xml:space="preserve">Source: lecture slide 13–14 (compound_interest_formulas.pdf)</t>
        </r>
      </text>
    </comment>
    <comment ref="J27" authorId="0">
      <text>
        <r>
          <rPr>
            <sz val="10"/>
            <rFont val="Arial"/>
            <family val="2"/>
          </rPr>
          <t xml:space="preserve">Source: lecture slide 15–16 (compound_interest_formulas.pdf)</t>
        </r>
      </text>
    </comment>
    <comment ref="J28" authorId="0">
      <text>
        <r>
          <rPr>
            <sz val="10"/>
            <rFont val="Arial"/>
            <family val="2"/>
          </rPr>
          <t xml:space="preserve">Source: lecture slide 15–16 (compound_interest_formulas.pdf)</t>
        </r>
      </text>
    </comment>
    <comment ref="J29" authorId="0">
      <text>
        <r>
          <rPr>
            <sz val="10"/>
            <rFont val="Arial"/>
            <family val="2"/>
          </rPr>
          <t xml:space="preserve">Source: lecture slide 4 (compound_interest_formulas.pdf)</t>
        </r>
      </text>
    </comment>
    <comment ref="J30" authorId="0">
      <text>
        <r>
          <rPr>
            <sz val="10"/>
            <rFont val="Arial"/>
            <family val="2"/>
          </rPr>
          <t xml:space="preserve">Source: lecture slide 8 (compound_interest_formulas.pdf)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Slide 20: appropriate discount rate 6%; the company also earns 6% on cash</t>
        </r>
      </text>
    </comment>
    <comment ref="B6" authorId="0">
      <text>
        <r>
          <rPr>
            <sz val="10"/>
            <rFont val="Arial"/>
            <family val="2"/>
          </rPr>
          <t xml:space="preserve">Slide 20: 5 years</t>
        </r>
      </text>
    </comment>
    <comment ref="B20" authorId="0">
      <text>
        <r>
          <rPr>
            <sz val="10"/>
            <rFont val="Arial"/>
            <family val="2"/>
          </rPr>
          <t xml:space="preserve">Slide 20: rent $40 thousand per year, net of expenses</t>
        </r>
      </text>
    </comment>
    <comment ref="B24" authorId="0">
      <text>
        <r>
          <rPr>
            <sz val="10"/>
            <rFont val="Arial"/>
            <family val="2"/>
          </rPr>
          <t xml:space="preserve">Slide 20: year-5 rent 40 + sale price 500 = 540</t>
        </r>
      </text>
    </comment>
    <comment ref="C12" authorId="0">
      <text>
        <r>
          <rPr>
            <sz val="10"/>
            <rFont val="Arial"/>
            <family val="2"/>
          </rPr>
          <t xml:space="preserve">Source: lecture slide 21 (compound_interest_formulas.pdf)</t>
        </r>
      </text>
    </comment>
    <comment ref="C13" authorId="0">
      <text>
        <r>
          <rPr>
            <sz val="10"/>
            <rFont val="Arial"/>
            <family val="2"/>
          </rPr>
          <t xml:space="preserve">Source: lecture slide 21 (compound_interest_formulas.pdf)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8" authorId="0">
      <text>
        <r>
          <rPr>
            <sz val="10"/>
            <rFont val="Arial"/>
            <family val="2"/>
          </rPr>
          <t xml:space="preserve">Slide 22: preferred stock paying a $10 dividend</t>
        </r>
      </text>
    </comment>
    <comment ref="B9" authorId="0">
      <text>
        <r>
          <rPr>
            <sz val="10"/>
            <rFont val="Arial"/>
            <family val="2"/>
          </rPr>
          <t xml:space="preserve">Slide 22: discount rate 8%</t>
        </r>
      </text>
    </comment>
    <comment ref="B17" authorId="0">
      <text>
        <r>
          <rPr>
            <sz val="10"/>
            <rFont val="Arial"/>
            <family val="2"/>
          </rPr>
          <t xml:space="preserve">Slide 24: common stock paying a $10 dividend next year</t>
        </r>
      </text>
    </comment>
    <comment ref="B18" authorId="0">
      <text>
        <r>
          <rPr>
            <sz val="10"/>
            <rFont val="Arial"/>
            <family val="2"/>
          </rPr>
          <t xml:space="preserve">Slide 24: discount rate still 8%</t>
        </r>
      </text>
    </comment>
    <comment ref="B19" authorId="0">
      <text>
        <r>
          <rPr>
            <sz val="10"/>
            <rFont val="Arial"/>
            <family val="2"/>
          </rPr>
          <t xml:space="preserve">Slide 24: dividend grows 4% a year</t>
        </r>
      </text>
    </comment>
    <comment ref="I25" authorId="0">
      <text>
        <r>
          <rPr>
            <sz val="10"/>
            <rFont val="Arial"/>
            <family val="2"/>
          </rPr>
          <t xml:space="preserve">Source: lecture slide 23 (compound_interest_formulas.pdf)</t>
        </r>
      </text>
    </comment>
    <comment ref="I26" authorId="0">
      <text>
        <r>
          <rPr>
            <sz val="10"/>
            <rFont val="Arial"/>
            <family val="2"/>
          </rPr>
          <t xml:space="preserve">Source: lecture slide 25 (compound_interest_formulas.pdf)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Slide 27: $16 thousand of credit-card debt</t>
        </r>
      </text>
    </comment>
    <comment ref="B9" authorId="0">
      <text>
        <r>
          <rPr>
            <sz val="10"/>
            <rFont val="Arial"/>
            <family val="2"/>
          </rPr>
          <t xml:space="preserve">Slide 27: 1.5% per month</t>
        </r>
      </text>
    </comment>
    <comment ref="B10" authorId="0">
      <text>
        <r>
          <rPr>
            <sz val="10"/>
            <rFont val="Arial"/>
            <family val="2"/>
          </rPr>
          <t xml:space="preserve">Slide 27: 4 years = 48 months</t>
        </r>
      </text>
    </comment>
    <comment ref="B25" authorId="0">
      <text>
        <r>
          <rPr>
            <sz val="10"/>
            <rFont val="Arial"/>
            <family val="2"/>
          </rPr>
          <t xml:space="preserve">Slide 27: same $16 thousand of debt</t>
        </r>
      </text>
    </comment>
    <comment ref="B27" authorId="0">
      <text>
        <r>
          <rPr>
            <sz val="10"/>
            <rFont val="Arial"/>
            <family val="2"/>
          </rPr>
          <t xml:space="preserve">Slide 27: 1.5% per month</t>
        </r>
      </text>
    </comment>
    <comment ref="B28" authorId="0">
      <text>
        <r>
          <rPr>
            <sz val="10"/>
            <rFont val="Arial"/>
            <family val="2"/>
          </rPr>
          <t xml:space="preserve">Slide 27: income and payments grow 0.5% per month</t>
        </r>
      </text>
    </comment>
    <comment ref="B29" authorId="0">
      <text>
        <r>
          <rPr>
            <sz val="10"/>
            <rFont val="Arial"/>
            <family val="2"/>
          </rPr>
          <t xml:space="preserve">Slide 27: 48 months</t>
        </r>
      </text>
    </comment>
    <comment ref="B37" authorId="0">
      <text>
        <r>
          <rPr>
            <sz val="10"/>
            <rFont val="Arial"/>
            <family val="2"/>
          </rPr>
          <t xml:space="preserve">Slide 27</t>
        </r>
      </text>
    </comment>
    <comment ref="B38" authorId="0">
      <text>
        <r>
          <rPr>
            <sz val="10"/>
            <rFont val="Arial"/>
            <family val="2"/>
          </rPr>
          <t xml:space="preserve">Slide 27</t>
        </r>
      </text>
    </comment>
    <comment ref="B39" authorId="0">
      <text>
        <r>
          <rPr>
            <sz val="10"/>
            <rFont val="Arial"/>
            <family val="2"/>
          </rPr>
          <t xml:space="preserve">Slide 27: 4 years × 12</t>
        </r>
      </text>
    </comment>
    <comment ref="B40" authorId="0">
      <text>
        <r>
          <rPr>
            <sz val="10"/>
            <rFont val="Arial"/>
            <family val="2"/>
          </rPr>
          <t xml:space="preserve">Slide 27</t>
        </r>
      </text>
    </comment>
    <comment ref="C42" authorId="0">
      <text>
        <r>
          <rPr>
            <sz val="10"/>
            <rFont val="Arial"/>
            <family val="2"/>
          </rPr>
          <t xml:space="preserve">Source: lecture slide 28 (compound_interest_formulas.pdf)</t>
        </r>
      </text>
    </comment>
    <comment ref="C43" authorId="0">
      <text>
        <r>
          <rPr>
            <sz val="10"/>
            <rFont val="Arial"/>
            <family val="2"/>
          </rPr>
          <t xml:space="preserve">Source: lecture slide 28 (compound_interest_formulas.pdf)</t>
        </r>
      </text>
    </comment>
    <comment ref="C44" authorId="0">
      <text>
        <r>
          <rPr>
            <sz val="10"/>
            <rFont val="Arial"/>
            <family val="2"/>
          </rPr>
          <t xml:space="preserve">Source: lecture slide 28 (compound_interest_formulas.pdf)</t>
        </r>
      </text>
    </comment>
    <comment ref="C45" authorId="0">
      <text>
        <r>
          <rPr>
            <sz val="10"/>
            <rFont val="Arial"/>
            <family val="2"/>
          </rPr>
          <t xml:space="preserve">Source: lecture slide 28 (compound_interest_formulas.pdf)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Slide 29: credit card quoting 18% APR</t>
        </r>
      </text>
    </comment>
    <comment ref="B9" authorId="0">
      <text>
        <r>
          <rPr>
            <sz val="10"/>
            <rFont val="Arial"/>
            <family val="2"/>
          </rPr>
          <t xml:space="preserve">Slide 29: monthly compounding, m = 12</t>
        </r>
      </text>
    </comment>
    <comment ref="B17" authorId="0">
      <text>
        <r>
          <rPr>
            <sz val="10"/>
            <rFont val="Arial"/>
            <family val="2"/>
          </rPr>
          <t xml:space="preserve">Slide 30: 10% quoted rate</t>
        </r>
      </text>
    </comment>
    <comment ref="B29" authorId="0">
      <text>
        <r>
          <rPr>
            <sz val="10"/>
            <rFont val="Arial"/>
            <family val="2"/>
          </rPr>
          <t xml:space="preserve">Slide 32: $100</t>
        </r>
      </text>
    </comment>
    <comment ref="B30" authorId="0">
      <text>
        <r>
          <rPr>
            <sz val="10"/>
            <rFont val="Arial"/>
            <family val="2"/>
          </rPr>
          <t xml:space="preserve">Slide 32: 10% quoted rate</t>
        </r>
      </text>
    </comment>
    <comment ref="B31" authorId="0">
      <text>
        <r>
          <rPr>
            <sz val="10"/>
            <rFont val="Arial"/>
            <family val="2"/>
          </rPr>
          <t xml:space="preserve">Semi-annual, as on the slide 32 chart</t>
        </r>
      </text>
    </comment>
    <comment ref="B32" authorId="0">
      <text>
        <r>
          <rPr>
            <sz val="10"/>
            <rFont val="Arial"/>
            <family val="2"/>
          </rPr>
          <t xml:space="preserve">Slide 32 chart runs to 20 years</t>
        </r>
      </text>
    </comment>
    <comment ref="B66" authorId="0">
      <text>
        <r>
          <rPr>
            <sz val="10"/>
            <rFont val="Arial"/>
            <family val="2"/>
          </rPr>
          <t xml:space="preserve">Slide 33: 14-day loan</t>
        </r>
      </text>
    </comment>
    <comment ref="B67" authorId="0">
      <text>
        <r>
          <rPr>
            <sz val="10"/>
            <rFont val="Arial"/>
            <family val="2"/>
          </rPr>
          <t xml:space="preserve">Slide 33: $117 per $100 lent</t>
        </r>
      </text>
    </comment>
    <comment ref="B74" authorId="0">
      <text>
        <r>
          <rPr>
            <sz val="10"/>
            <rFont val="Arial"/>
            <family val="2"/>
          </rPr>
          <t xml:space="preserve">Slide 29</t>
        </r>
      </text>
    </comment>
    <comment ref="C70" authorId="0">
      <text>
        <r>
          <rPr>
            <sz val="10"/>
            <rFont val="Arial"/>
            <family val="2"/>
          </rPr>
          <t xml:space="preserve">Source: lecture slide 34 (compound_interest_formulas.pdf)</t>
        </r>
      </text>
    </comment>
    <comment ref="C71" authorId="0">
      <text>
        <r>
          <rPr>
            <sz val="10"/>
            <rFont val="Arial"/>
            <family val="2"/>
          </rPr>
          <t xml:space="preserve">Source: lecture slide 34 (compound_interest_formulas.pdf)</t>
        </r>
      </text>
    </comment>
    <comment ref="C74" authorId="0">
      <text>
        <r>
          <rPr>
            <sz val="10"/>
            <rFont val="Arial"/>
            <family val="2"/>
          </rPr>
          <t xml:space="preserve">Slide 29: m = 12</t>
        </r>
      </text>
    </comment>
    <comment ref="E19" authorId="0">
      <text>
        <r>
          <rPr>
            <sz val="10"/>
            <rFont val="Arial"/>
            <family val="2"/>
          </rPr>
          <t xml:space="preserve">Source: lecture slide 30 (compound_interest_formulas.pdf)</t>
        </r>
      </text>
    </comment>
    <comment ref="E20" authorId="0">
      <text>
        <r>
          <rPr>
            <sz val="10"/>
            <rFont val="Arial"/>
            <family val="2"/>
          </rPr>
          <t xml:space="preserve">Source: lecture slide 30 (compound_interest_formulas.pdf)</t>
        </r>
      </text>
    </comment>
    <comment ref="E21" authorId="0">
      <text>
        <r>
          <rPr>
            <sz val="10"/>
            <rFont val="Arial"/>
            <family val="2"/>
          </rPr>
          <t xml:space="preserve">Source: lecture slide 30 (compound_interest_formulas.pdf)</t>
        </r>
      </text>
    </comment>
    <comment ref="E22" authorId="0">
      <text>
        <r>
          <rPr>
            <sz val="10"/>
            <rFont val="Arial"/>
            <family val="2"/>
          </rPr>
          <t xml:space="preserve">Source: lecture slide 30 (compound_interest_formulas.pdf)</t>
        </r>
      </text>
    </comment>
    <comment ref="E23" authorId="0">
      <text>
        <r>
          <rPr>
            <sz val="10"/>
            <rFont val="Arial"/>
            <family val="2"/>
          </rPr>
          <t xml:space="preserve">Source: lecture slide 30 (compound_interest_formulas.pdf)</t>
        </r>
      </text>
    </comment>
    <comment ref="E24" authorId="0">
      <text>
        <r>
          <rPr>
            <sz val="10"/>
            <rFont val="Arial"/>
            <family val="2"/>
          </rPr>
          <t xml:space="preserve">Source: lecture slide 30 (compound_interest_formulas.pdf)</t>
        </r>
      </text>
    </comment>
    <comment ref="E25" authorId="0">
      <text>
        <r>
          <rPr>
            <sz val="10"/>
            <rFont val="Arial"/>
            <family val="2"/>
          </rPr>
          <t xml:space="preserve">Source: lecture slide 30 (compound_interest_formulas.pdf)</t>
        </r>
      </text>
    </comment>
    <comment ref="E74" authorId="0">
      <text>
        <r>
          <rPr>
            <sz val="10"/>
            <rFont val="Arial"/>
            <family val="2"/>
          </rPr>
          <t xml:space="preserve">Source: lecture slide 29 (compound_interest_formulas.pdf)</t>
        </r>
      </text>
    </comment>
  </commentList>
</comments>
</file>

<file path=xl/sharedStrings.xml><?xml version="1.0" encoding="utf-8"?>
<sst xmlns="http://schemas.openxmlformats.org/spreadsheetml/2006/main" count="456" uniqueCount="356">
  <si>
    <t xml:space="preserve">Time Value of Money — financial models built from the lecture slides</t>
  </si>
  <si>
    <t xml:space="preserve">Source: Foundations of Finance, 'compound_interest_formulas.pdf' (35 slides). Every model sheet lets you solve the slide's equation for any variable.</t>
  </si>
  <si>
    <t xml:space="preserve">HOW TO READ THE SHEETS</t>
  </si>
  <si>
    <t xml:space="preserve">Input (edit me)</t>
  </si>
  <si>
    <t xml:space="preserve">Blue text on yellow = a number you can change. Rates go in as percentages (8% or 0.08 — never 8).</t>
  </si>
  <si>
    <t xml:space="preserve">Formula</t>
  </si>
  <si>
    <t xml:space="preserve">Black = calculated. Don't type over these; change the yellow inputs instead.</t>
  </si>
  <si>
    <t xml:space="preserve">Solved variable</t>
  </si>
  <si>
    <t xml:space="preserve">Green = the variable the 'Solve for' dropdown is currently solving. Its yellow input is ignored.</t>
  </si>
  <si>
    <t xml:space="preserve">Link to another sheet</t>
  </si>
  <si>
    <t xml:space="preserve">Green text = pulled from another sheet (the credit-card schedule reads the annuity solver).</t>
  </si>
  <si>
    <t xml:space="preserve">Slide answer</t>
  </si>
  <si>
    <t xml:space="preserve">Blue = the number printed on the slide, typed in as a check. 'Match?' compares the model to it.</t>
  </si>
  <si>
    <t xml:space="preserve">SHEET MAP</t>
  </si>
  <si>
    <t xml:space="preserve">Sheet</t>
  </si>
  <si>
    <t xml:space="preserve">What it models</t>
  </si>
  <si>
    <t xml:space="preserve">Slides</t>
  </si>
  <si>
    <t xml:space="preserve">1 Single Cash Flow</t>
  </si>
  <si>
    <t xml:space="preserve">FV = PV(1+R)^T solved for FV, PV, R or T; interest decomposition; every slide example; FV/PV tables and charts</t>
  </si>
  <si>
    <t xml:space="preserve">4–16</t>
  </si>
  <si>
    <t xml:space="preserve">2 Multiple Cash Flows</t>
  </si>
  <si>
    <t xml:space="preserve">PV and FV of any stream of cash flows, period by period; NPV cross-check; office-building example</t>
  </si>
  <si>
    <t xml:space="preserve">17–21</t>
  </si>
  <si>
    <t xml:space="preserve">3 Perpetuities</t>
  </si>
  <si>
    <t xml:space="preserve">PV = CF/R and PV = CF/(R−g) solved for any variable; 100-period convergence table and chart</t>
  </si>
  <si>
    <t xml:space="preserve">22–25</t>
  </si>
  <si>
    <t xml:space="preserve">4 Annuities</t>
  </si>
  <si>
    <t xml:space="preserve">Level and growing annuity solved for PV, CF, T (and R); derivation as perpetuity minus perpetuity; FV of an annuity; credit-card questions</t>
  </si>
  <si>
    <t xml:space="preserve">26–28</t>
  </si>
  <si>
    <t xml:space="preserve">5 Credit Card Schedule</t>
  </si>
  <si>
    <t xml:space="preserve">Month-by-month balance for the level and growing payment plans, plus the savings comparison</t>
  </si>
  <si>
    <t xml:space="preserve">27–28</t>
  </si>
  <si>
    <t xml:space="preserve">6 Compounding &amp; EAR</t>
  </si>
  <si>
    <t xml:space="preserve">APR ↔ EAR for any m, continuous compounding, FV under different frequencies, payday-loan example</t>
  </si>
  <si>
    <t xml:space="preserve">29–34</t>
  </si>
  <si>
    <t xml:space="preserve">FORMULA CHEAT SHEET — one equation per topic, and the same equation rearranged</t>
  </si>
  <si>
    <t xml:space="preserve">Topic</t>
  </si>
  <si>
    <t xml:space="preserve">Slide formula</t>
  </si>
  <si>
    <t xml:space="preserve">Rearranged for the other variables</t>
  </si>
  <si>
    <t xml:space="preserve">Future value (slide 5)</t>
  </si>
  <si>
    <t xml:space="preserve">FV = PV × (1 + R)^T</t>
  </si>
  <si>
    <t xml:space="preserve">PV = FV / (1+R)^T   ·   R = (FV/PV)^(1/T) − 1   ·   T = ln(FV/PV) / ln(1+R)</t>
  </si>
  <si>
    <t xml:space="preserve">Present value (slide 9)</t>
  </si>
  <si>
    <t xml:space="preserve">PV = FV / (1 + R)^T</t>
  </si>
  <si>
    <t xml:space="preserve">Same equation as above, read the other way: discounting is compounding in reverse</t>
  </si>
  <si>
    <t xml:space="preserve">Yield R (slide 12)</t>
  </si>
  <si>
    <t xml:space="preserve">R = (FV / PV)^(1/T) − 1</t>
  </si>
  <si>
    <t xml:space="preserve">Take the T-th root of the total growth factor FV/PV</t>
  </si>
  <si>
    <t xml:space="preserve">Time T (slide 12)</t>
  </si>
  <si>
    <t xml:space="preserve">T = ln(FV / PV) / ln(1 + R)</t>
  </si>
  <si>
    <t xml:space="preserve">Logs turn the exponent into a multiplier; any log base works</t>
  </si>
  <si>
    <t xml:space="preserve">Multiple cash flows (slide 17)</t>
  </si>
  <si>
    <t xml:space="preserve">PV = Σ CFₜ/(1+R)^t     FV = Σ CFₜ(1+R)^(T−t)</t>
  </si>
  <si>
    <t xml:space="preserve">FV = PV × (1+R)^T still holds for the whole stream</t>
  </si>
  <si>
    <t xml:space="preserve">Perpetuity (slide 22)</t>
  </si>
  <si>
    <t xml:space="preserve">PV = CF / R</t>
  </si>
  <si>
    <t xml:space="preserve">CF = PV × R   ·   R = CF / PV</t>
  </si>
  <si>
    <t xml:space="preserve">Growing perpetuity (slide 24)</t>
  </si>
  <si>
    <t xml:space="preserve">PV = CF / (R − g)      (g &lt; R)</t>
  </si>
  <si>
    <t xml:space="preserve">CF = PV(R−g)   ·   R = CF/PV + g   ·   g = R − CF/PV</t>
  </si>
  <si>
    <t xml:space="preserve">Annuity (slide 26)</t>
  </si>
  <si>
    <t xml:space="preserve">PV = CF/R × [1 − 1/(1+R)^T]</t>
  </si>
  <si>
    <t xml:space="preserve">CF = PV·R / [1 − 1/(1+R)^T]   ·   T = −ln(1 − PV·R/CF) / ln(1+R)   ·   R: no closed form → RATE()</t>
  </si>
  <si>
    <t xml:space="preserve">Growing annuity (slide 26)</t>
  </si>
  <si>
    <t xml:space="preserve">PV = CF/(R−g) × [1 − (1+g)^T/(1+R)^T]</t>
  </si>
  <si>
    <t xml:space="preserve">CF = PV(R−g) / [1 − ((1+g)/(1+R))^T]   ·   T = ln(1 − PV(R−g)/CF) / ln((1+g)/(1+R))</t>
  </si>
  <si>
    <t xml:space="preserve">FV of an annuity (slide 28)</t>
  </si>
  <si>
    <t xml:space="preserve">FV = CF × [(1+R)^T − 1] / R</t>
  </si>
  <si>
    <t xml:space="preserve">= PV of the annuity × (1+R)^T</t>
  </si>
  <si>
    <t xml:space="preserve">Effective annual rate (slide 29)</t>
  </si>
  <si>
    <t xml:space="preserve">EAR = (1 + APR/m)^m − 1</t>
  </si>
  <si>
    <t xml:space="preserve">APR = m × [(1+EAR)^(1/m) − 1]   ·   rate per period = APR/m</t>
  </si>
  <si>
    <t xml:space="preserve">Continuous compounding (slide 31)</t>
  </si>
  <si>
    <t xml:space="preserve">EAR = e^APR − 1</t>
  </si>
  <si>
    <t xml:space="preserve">APR = ln(1 + EAR)</t>
  </si>
  <si>
    <t xml:space="preserve">FV with compounding m times a year (slide 32)</t>
  </si>
  <si>
    <t xml:space="preserve">FV = PV(1 + APR/m)^(T·m) = PV(1+EAR)^T</t>
  </si>
  <si>
    <t xml:space="preserve">Continuous:  FV = PV × e^(R·T)</t>
  </si>
  <si>
    <t xml:space="preserve">COMMON MISTAKES (including the ones in the sheet you started)</t>
  </si>
  <si>
    <t xml:space="preserve">Rate typed as 6 instead of 6%</t>
  </si>
  <si>
    <t xml:space="preserve">Excel reads 6 as 600%. Your T came out as −3.66 because ln(FV/PV)/ln(1+6) was evaluated with a 600% rate. Type 6% or 0.06.</t>
  </si>
  <si>
    <t xml:space="preserve">FV smaller than PV when solving for T</t>
  </si>
  <si>
    <t xml:space="preserve">ln(FV/PV) is negative when FV &lt; PV, so T is negative. Your inputs were FV = 400 and PV = 500,000 (the slide uses 500 thousand → 4,000 thousand, same units).</t>
  </si>
  <si>
    <t xml:space="preserve">DIV/0 errors in the annuity block</t>
  </si>
  <si>
    <t xml:space="preserve">The rate and time cells were empty, so the formula divided by zero. Every solver here ships with the slide's numbers already filled in.</t>
  </si>
  <si>
    <t xml:space="preserve">Mixing periods</t>
  </si>
  <si>
    <t xml:space="preserve">A monthly rate needs T in months (1.5% and 48), an annual rate needs T in years. Never 1.5% with T = 4.</t>
  </si>
  <si>
    <t xml:space="preserve">Timing of the first cash flow</t>
  </si>
  <si>
    <t xml:space="preserve">Perpetuity and annuity formulas assume the first CF arrives one period from now (t = 1), not today.</t>
  </si>
  <si>
    <t xml:space="preserve">g ≥ R in a growing perpetuity</t>
  </si>
  <si>
    <t xml:space="preserve">The formula only works when g &lt; R; otherwise the cash flows outgrow the discounting and PV is infinite.</t>
  </si>
  <si>
    <t xml:space="preserve">Excel's sign convention</t>
  </si>
  <si>
    <t xml:space="preserve">PV(), FV(), PMT(), RATE(), NPER() treat money paid out as negative — hence the minus signs in the cross-check cells.</t>
  </si>
  <si>
    <t xml:space="preserve">Single cash flow:  FV = PV × (1 + R)^T      (slides 4–16)</t>
  </si>
  <si>
    <t xml:space="preserve">One equation, four unknowns. Enter the three you know, pick the fourth in 'Solve for'. Yellow = your inputs, black = formulas, green = the solved variable.</t>
  </si>
  <si>
    <t xml:space="preserve">A.  SOLVER — the same equation rearranged for each variable</t>
  </si>
  <si>
    <t xml:space="preserve">Variable</t>
  </si>
  <si>
    <t xml:space="preserve">Your input</t>
  </si>
  <si>
    <t xml:space="preserve">Value used / solved</t>
  </si>
  <si>
    <t xml:space="preserve">Formula (algebra)</t>
  </si>
  <si>
    <t xml:space="preserve">Solve for</t>
  </si>
  <si>
    <t xml:space="preserve">T</t>
  </si>
  <si>
    <t xml:space="preserve">Choose FV, PV, R or T. The input in that row is ignored and replaced by the solved value.</t>
  </si>
  <si>
    <t xml:space="preserve">Present value  PV  (money today; here $ thousand)</t>
  </si>
  <si>
    <t xml:space="preserve">PV = FV / (1 + R)^T          (discount FV back T periods)</t>
  </si>
  <si>
    <t xml:space="preserve">Future value  FV  (money at time T)</t>
  </si>
  <si>
    <t xml:space="preserve">FV = PV × (1 + R)^T          (compound PV forward T periods)</t>
  </si>
  <si>
    <t xml:space="preserve">Rate per period  R  (enter 8% or 0.08, never 8)</t>
  </si>
  <si>
    <t xml:space="preserve">R = (FV / PV)^(1/T) − 1      (the yield: T-th root of the growth factor)</t>
  </si>
  <si>
    <t xml:space="preserve">Number of periods  T  (same unit as R: years with an annual R)</t>
  </si>
  <si>
    <t xml:space="preserve">T = ln(FV / PV) / ln(1 + R)  (take logs of both sides of FV = PV(1+R)^T)</t>
  </si>
  <si>
    <t xml:space="preserve">Answer</t>
  </si>
  <si>
    <t xml:space="preserve">Excel built-in function (cross-check)</t>
  </si>
  <si>
    <t xml:space="preserve">=PV(R,T,0,−FV)  ·  =FV(R,T,0,−PV)  ·  =RATE(T,0,−PV,FV)  ·  =NPER(R,0,−PV,FV).  Excel's sign rule: money you pay out is negative.</t>
  </si>
  <si>
    <t xml:space="preserve">Consistency check:  FV = PV × (1 + R)^T ?</t>
  </si>
  <si>
    <t xml:space="preserve">Uses the 'Value used' column, so it always holds once one variable is solved.</t>
  </si>
  <si>
    <t xml:space="preserve">Interest decomposition (slide 4):  FV = PV + simple interest + interest on interest</t>
  </si>
  <si>
    <t xml:space="preserve">Simple interest  = PV × R × T</t>
  </si>
  <si>
    <t xml:space="preserve">What you would earn if interest were paid only on the original PV</t>
  </si>
  <si>
    <t xml:space="preserve">Interest on interest  = FV − PV − simple interest</t>
  </si>
  <si>
    <t xml:space="preserve">The compounding effect — it grows faster than linearly with T (see chart below)</t>
  </si>
  <si>
    <t xml:space="preserve">Total growth  = FV − PV</t>
  </si>
  <si>
    <t xml:space="preserve">B.  WORKED EXAMPLES FROM THE SLIDES — each row applies the rearranged formula directly</t>
  </si>
  <si>
    <t xml:space="preserve">Example</t>
  </si>
  <si>
    <t xml:space="preserve">Slide</t>
  </si>
  <si>
    <t xml:space="preserve">Formula used</t>
  </si>
  <si>
    <t xml:space="preserve">PV</t>
  </si>
  <si>
    <t xml:space="preserve">FV</t>
  </si>
  <si>
    <t xml:space="preserve">R</t>
  </si>
  <si>
    <t xml:space="preserve">Model result</t>
  </si>
  <si>
    <t xml:space="preserve">Match?</t>
  </si>
  <si>
    <t xml:space="preserve">Manhattan: $24 in 1626, 399 years at 5% (what is it worth?)</t>
  </si>
  <si>
    <t xml:space="preserve">6–7</t>
  </si>
  <si>
    <t xml:space="preserve">FV = PV × (1+R)^T</t>
  </si>
  <si>
    <t xml:space="preserve">—</t>
  </si>
  <si>
    <t xml:space="preserve">Manhattan: same $24 at 6% — one point of rate, 44× the answer</t>
  </si>
  <si>
    <t xml:space="preserve">GM pension: $45 billion due in 15 years, discount rate 6% ($ bn)</t>
  </si>
  <si>
    <t xml:space="preserve">10–11</t>
  </si>
  <si>
    <t xml:space="preserve">PV = FV / (1+R)^T</t>
  </si>
  <si>
    <t xml:space="preserve">GM pension: same liability at 4% — lower rate, bigger PV ($ bn)</t>
  </si>
  <si>
    <t xml:space="preserve">Microsoft: raise $1.3 bn now, repay $2.5 bn in 25 years — yield?</t>
  </si>
  <si>
    <t xml:space="preserve">13–14</t>
  </si>
  <si>
    <t xml:space="preserve">R = (FV/PV)^(1/T) − 1</t>
  </si>
  <si>
    <t xml:space="preserve">Aunt: $500k → $4m at 8% — years until she can retire</t>
  </si>
  <si>
    <t xml:space="preserve">15–16</t>
  </si>
  <si>
    <t xml:space="preserve">T = ln(FV/PV) / ln(1+R)</t>
  </si>
  <si>
    <t xml:space="preserve">Aunt: same goal at 4% — works until 93</t>
  </si>
  <si>
    <t xml:space="preserve">$100 invested 2 years at 5% (slide 4)</t>
  </si>
  <si>
    <t xml:space="preserve">4</t>
  </si>
  <si>
    <t xml:space="preserve">$100 received in 2 years, discounted at 5% (slide 8)</t>
  </si>
  <si>
    <t xml:space="preserve">8</t>
  </si>
  <si>
    <t xml:space="preserve">Slide answers are rounded (e.g. 27 years is really 27.0; 2.65% is 2.6499%). 'Match?' allows 0.5% rounding difference.</t>
  </si>
  <si>
    <t xml:space="preserve">C.  FV AND PV OF $100 ACROSS RATES AND YEARS  (slides 5 and 9) — edit the amount or the rates</t>
  </si>
  <si>
    <t xml:space="preserve">Amount  (invested today for FV; received in year T for PV)</t>
  </si>
  <si>
    <t xml:space="preserve">Rates (edit the yellow cells)  →</t>
  </si>
  <si>
    <t xml:space="preserve">PV table uses the same rates  →</t>
  </si>
  <si>
    <t xml:space="preserve">Year</t>
  </si>
  <si>
    <t xml:space="preserve">Slide 5 table: year 20 at 15% → 1,637.  Slide 9 table: year 20 at 15% → 6.  Compounding is exponential, discounting shrinks fast.</t>
  </si>
  <si>
    <t xml:space="preserve">Multiple cash flows:  PV = Σ CFₜ / (1+R)^t      FV = Σ CFₜ × (1+R)^(T−t)      (slides 17–21)</t>
  </si>
  <si>
    <t xml:space="preserve">Value each cash flow separately at the same date, then add. Default = office building: rent $40k for 5 years, then sell for $500k (slide 20).</t>
  </si>
  <si>
    <t xml:space="preserve">INPUTS</t>
  </si>
  <si>
    <t xml:space="preserve">Discount rate per period  R</t>
  </si>
  <si>
    <t xml:space="preserve">Horizon  T  (the date at which FV is measured)</t>
  </si>
  <si>
    <t xml:space="preserve">Units</t>
  </si>
  <si>
    <t xml:space="preserve">$ thousand</t>
  </si>
  <si>
    <t xml:space="preserve">Type cash flows in the yellow column below (t = 1 is one period from today). Leave unused periods blank. Year 5 = 40 rent + 500 sale = 540.</t>
  </si>
  <si>
    <t xml:space="preserve">RESULTS</t>
  </si>
  <si>
    <t xml:space="preserve">Metric</t>
  </si>
  <si>
    <t xml:space="preserve">Model</t>
  </si>
  <si>
    <t xml:space="preserve">PV of all cash flows  = Σ CFₜ / (1+R)^t   (price to pay today)</t>
  </si>
  <si>
    <t xml:space="preserve">FV at T of all cash flows  = Σ CFₜ × (1+R)^(T−t)   (cash at T if each flow is reinvested)</t>
  </si>
  <si>
    <t xml:space="preserve">Check:  FV = PV × (1+R)^T   (slide 17: 'as before')</t>
  </si>
  <si>
    <t xml:space="preserve">Check with Excel's  =NPV(R, cash-flow range)   (assumes first flow at t = 1)</t>
  </si>
  <si>
    <t xml:space="preserve">Flows after T are still included: (1+R)^(T−t) with t &gt; T just discounts them back to date T, so FV = PV × (1+R)^T always holds.</t>
  </si>
  <si>
    <t xml:space="preserve">CASH FLOW TABLE  (one row per period)</t>
  </si>
  <si>
    <t xml:space="preserve">t</t>
  </si>
  <si>
    <t xml:space="preserve">Cash flow  CFₜ</t>
  </si>
  <si>
    <t xml:space="preserve">Discount factor  1/(1+R)^t</t>
  </si>
  <si>
    <t xml:space="preserve">PV of CFₜ</t>
  </si>
  <si>
    <t xml:space="preserve">FV factor  (1+R)^(T−t)</t>
  </si>
  <si>
    <t xml:space="preserve">Value at T of CFₜ</t>
  </si>
  <si>
    <t xml:space="preserve">Totals</t>
  </si>
  <si>
    <t xml:space="preserve">Undiscounted total (B50) ≠ PV (D50): money later is worth less today. FV (F50) &gt; total: earlier flows earn interest until T.</t>
  </si>
  <si>
    <t xml:space="preserve">Perpetuities:  PV = CF / R      Constant-growth:  PV = CF / (R − g)      (slides 22–25)</t>
  </si>
  <si>
    <t xml:space="preserve">A perpetuity pays CF every period forever, starting one period from now (t = 1). Its price is the amount whose interest exactly funds the payments.</t>
  </si>
  <si>
    <t xml:space="preserve">A.  LEVEL PERPETUITY   PV = CF / R</t>
  </si>
  <si>
    <t xml:space="preserve">Present value  PV  (price of the perpetuity today)</t>
  </si>
  <si>
    <t xml:space="preserve">Cash flow per period  CF  (first payment at t = 1)</t>
  </si>
  <si>
    <t xml:space="preserve">CF = PV × R          (the interest the price earns each period)</t>
  </si>
  <si>
    <t xml:space="preserve">R = CF / PV          (the yield the perpetuity offers at price PV)</t>
  </si>
  <si>
    <t xml:space="preserve">Intuition (slide 22):  R × PV = CF.  Invest $125 at 8% → $10 of interest a year, forever, without touching the $125. So a $10-forever stream is worth $125.</t>
  </si>
  <si>
    <t xml:space="preserve">B.  CONSTANT-GROWTH PERPETUITY   PV = CF / (R − g)      (needs g &lt; R)</t>
  </si>
  <si>
    <t xml:space="preserve">Present value  PV</t>
  </si>
  <si>
    <t xml:space="preserve">PV = CF / (R − g)</t>
  </si>
  <si>
    <t xml:space="preserve">First cash flow  CF  (at t = 1; then grows at g each period)</t>
  </si>
  <si>
    <t xml:space="preserve">CF = PV × (R − g)</t>
  </si>
  <si>
    <t xml:space="preserve">R = CF / PV + g          (dividend yield + growth)</t>
  </si>
  <si>
    <t xml:space="preserve">Growth rate of the cash flow  g</t>
  </si>
  <si>
    <t xml:space="preserve">g = R − CF / PV</t>
  </si>
  <si>
    <t xml:space="preserve">Intuition (slide 24):  R × PV = CF + g × PV.  $250 at 8% earns $20: $10 pays the dividend, the other $10 stays invested so the principal (and next year's dividend) grows 4%.  If g ≥ R the sum never converges — PV would be infinite.</t>
  </si>
  <si>
    <t xml:space="preserve">C.  EXAMPLES FROM THE SLIDES</t>
  </si>
  <si>
    <t xml:space="preserve">CF</t>
  </si>
  <si>
    <t xml:space="preserve">g</t>
  </si>
  <si>
    <t xml:space="preserve">Preferred stock: $10 dividend forever, discount rate 8%</t>
  </si>
  <si>
    <t xml:space="preserve">22–23</t>
  </si>
  <si>
    <t xml:space="preserve">Common stock: $10 dividend growing 4% a year, discount rate 8%</t>
  </si>
  <si>
    <t xml:space="preserve">24–25</t>
  </si>
  <si>
    <t xml:space="preserve">Growth doubles the price here: the gap (R − g) is what the price is really divided by, so small changes in g move PV a lot.</t>
  </si>
  <si>
    <t xml:space="preserve">D.  WHY THE FORMULA WORKS — discount each cash flow, add them up, watch the running total converge (uses the solver values above)</t>
  </si>
  <si>
    <t xml:space="preserve">Closed-form targets:   level  CF/R  →</t>
  </si>
  <si>
    <t xml:space="preserve">growing  CF/(R−g)  →</t>
  </si>
  <si>
    <t xml:space="preserve">Level CF</t>
  </si>
  <si>
    <t xml:space="preserve">PV of level CF  CF/(1+R)^t</t>
  </si>
  <si>
    <t xml:space="preserve">Running total (level)</t>
  </si>
  <si>
    <t xml:space="preserve">Growing CF  CF(1+g)^(t−1)</t>
  </si>
  <si>
    <t xml:space="preserve">PV of growing CF</t>
  </si>
  <si>
    <t xml:space="preserve">Running total (growing)</t>
  </si>
  <si>
    <t xml:space="preserve">Target CF/R</t>
  </si>
  <si>
    <t xml:space="preserve">Target CF/(R−g)</t>
  </si>
  <si>
    <t xml:space="preserve">After 100 periods the level total is within 0.05% of CF/R; the growing one converges more slowly because (1+g)/(1+R) is closer to 1.</t>
  </si>
  <si>
    <t xml:space="preserve">Annuities:  PV = CF/R × [1 − 1/(1+R)^T]      Growing:  PV = CF/(R−g) × [1 − (1+g)^T/(1+R)^T]      (slide 26)</t>
  </si>
  <si>
    <t xml:space="preserve">An annuity is a perpetuity that stops after T payments = perpetuity from t=1 minus a perpetuity from t=T+1. Default = credit-card example (slides 27–28).</t>
  </si>
  <si>
    <t xml:space="preserve">A.  LEVEL ANNUITY   PV = CF/R × [1 − 1/(1+R)^T]</t>
  </si>
  <si>
    <t xml:space="preserve">Present value  PV  (loan balance today / price of the annuity)</t>
  </si>
  <si>
    <t xml:space="preserve">Cash flow per period  CF  (level payment, first one at t = 1)</t>
  </si>
  <si>
    <t xml:space="preserve">CF = PV × R / [1 − 1/(1+R)^T]          (divide PV by the annuity factor)</t>
  </si>
  <si>
    <t xml:space="preserve">Rate per period  R  (monthly rate with monthly payments!)</t>
  </si>
  <si>
    <t xml:space="preserve">No closed form for R → Excel iterates:  =RATE(T, −CF, PV)</t>
  </si>
  <si>
    <t xml:space="preserve">Number of periods  T  (months here)</t>
  </si>
  <si>
    <t xml:space="preserve">T = −ln(1 − PV×R/CF) / ln(1+R)          (needs CF &gt; PV×R, or the debt never shrinks)</t>
  </si>
  <si>
    <t xml:space="preserve">=PV(R,T,−CF)  ·  =PMT(R,T,−PV)  ·  =RATE(T,−CF,PV)  ·  =NPER(R,−CF,PV)</t>
  </si>
  <si>
    <t xml:space="preserve">Where the formula comes from (slide 26) and the FV of the same payments</t>
  </si>
  <si>
    <t xml:space="preserve">Perpetuity starting at t = 1:   CF / R</t>
  </si>
  <si>
    <t xml:space="preserve">Less: perpetuity starting at t = T+1, discounted to today:   CF/R × 1/(1+R)^T</t>
  </si>
  <si>
    <t xml:space="preserve">= Annuity PV</t>
  </si>
  <si>
    <t xml:space="preserve">Annuity factor   [1 − 1/(1+R)^T] / R   (PV of $1 per period)</t>
  </si>
  <si>
    <t xml:space="preserve">PV = CF × annuity factor,  so  CF = PV / annuity factor</t>
  </si>
  <si>
    <t xml:space="preserve">Future value at T of the payments:   FV = CF × [(1+R)^T − 1] / R</t>
  </si>
  <si>
    <t xml:space="preserve">Multiply the PV formula by (1+R)^T — used in slide 28's savings question</t>
  </si>
  <si>
    <t xml:space="preserve">Same thing via  PV × (1+R)^T</t>
  </si>
  <si>
    <t xml:space="preserve">B.  GROWING ANNUITY   PV = CF/(R−g) × [1 − ((1+g)/(1+R))^T]</t>
  </si>
  <si>
    <t xml:space="preserve">PV = CF/(R−g) × [1 − ((1+g)/(1+R))^T]      (if g = R exactly: PV = CF × T/(1+R))</t>
  </si>
  <si>
    <t xml:space="preserve">First cash flow  CF  (at t = 1; grows at g each period after)</t>
  </si>
  <si>
    <t xml:space="preserve">CF = PV × (R−g) / [1 − ((1+g)/(1+R))^T]</t>
  </si>
  <si>
    <t xml:space="preserve">Rate per period  R</t>
  </si>
  <si>
    <t xml:space="preserve">No closed form for R → enter it (or Data ▸ What-If ▸ Goal Seek on the PV cell)</t>
  </si>
  <si>
    <t xml:space="preserve">No closed form for g → enter it (or Goal Seek)</t>
  </si>
  <si>
    <t xml:space="preserve">Number of periods  T</t>
  </si>
  <si>
    <t xml:space="preserve">T = ln(1 − PV(R−g)/CF) / ln((1+g)/(1+R))</t>
  </si>
  <si>
    <t xml:space="preserve">Growing perpetuity starting at t = 1:   CF / (R − g)</t>
  </si>
  <si>
    <t xml:space="preserve">Less: growing perpetuity from t = T+1 (first flow CF(1+g)^T), discounted:   CF(1+g)^T/(R−g) × 1/(1+R)^T</t>
  </si>
  <si>
    <t xml:space="preserve">= Growing annuity PV</t>
  </si>
  <si>
    <t xml:space="preserve">Future value at T:   FV = CF/(R−g) × [(1+R)^T − (1+g)^T]   = PV × (1+R)^T</t>
  </si>
  <si>
    <t xml:space="preserve">C.  CREDIT-CARD EXAMPLE (slides 27–28) — which formula, and why</t>
  </si>
  <si>
    <t xml:space="preserve">Debt today  PV</t>
  </si>
  <si>
    <t xml:space="preserve">Interest rate per month  R</t>
  </si>
  <si>
    <t xml:space="preserve">Months to pay off  T</t>
  </si>
  <si>
    <t xml:space="preserve">Growth of payments  g  (from income growth)</t>
  </si>
  <si>
    <t xml:space="preserve">Question</t>
  </si>
  <si>
    <t xml:space="preserve">Which formula and why</t>
  </si>
  <si>
    <t xml:space="preserve">Q1. Minimum level monthly payment to be debt-free in 48 months</t>
  </si>
  <si>
    <t xml:space="preserve">Level annuity, solve for CF: equal payments for a finite T whose PV must equal today's debt.  16 = CF × [1 − 1/1.015^48]/0.015</t>
  </si>
  <si>
    <t xml:space="preserve">Q2. First payment if payments grow 0.5% a month</t>
  </si>
  <si>
    <t xml:space="preserve">Growing annuity, solve for CF: same PV, but the payment stream grows at g, so the first payment can be lower.</t>
  </si>
  <si>
    <t xml:space="preserve">Q3. If there were no debt and the Q1 payment were saved at 1.5%/month, savings after 4 years</t>
  </si>
  <si>
    <t xml:space="preserve">FV of an annuity: CF × [(1+R)^T − 1]/R. Each deposit compounds until month 48.</t>
  </si>
  <si>
    <t xml:space="preserve">      …same number as the debt compounded forward:  PV × (1+R)^T</t>
  </si>
  <si>
    <t xml:space="preserve">Because the payments exactly repay the debt, their FV equals the FV of the debt. Paying 1.5%/month debt = earning 1.5%/month.</t>
  </si>
  <si>
    <t xml:space="preserve">Rules of thumb:  level payments, finite horizon → annuity.  Payments growing at g → growing annuity.  Forever → perpetuity.  'How much will I have at the end?' → FV version. Always match the rate to the period (monthly rate ↔ months).</t>
  </si>
  <si>
    <t xml:space="preserve">Month by month: why the annuity formula works (credit-card example, slides 27–28)</t>
  </si>
  <si>
    <t xml:space="preserve">Inputs link to sheet '4 Annuities' (green). Balance grows by interest, shrinks by the payment, and lands on zero exactly at month T.</t>
  </si>
  <si>
    <t xml:space="preserve">LINKED INPUTS</t>
  </si>
  <si>
    <t xml:space="preserve">WHAT THE SCHEDULE SHOWS</t>
  </si>
  <si>
    <t xml:space="preserve">Balance after the last level payment (should be 0)</t>
  </si>
  <si>
    <t xml:space="preserve">Monthly rate  R</t>
  </si>
  <si>
    <t xml:space="preserve">Balance after the last growing payment (should be 0)</t>
  </si>
  <si>
    <t xml:space="preserve">Months  T</t>
  </si>
  <si>
    <t xml:space="preserve">Savings after T months of depositing the level payment</t>
  </si>
  <si>
    <t xml:space="preserve">Level payment  CF</t>
  </si>
  <si>
    <t xml:space="preserve">FV of the debt  PV × (1+R)^T</t>
  </si>
  <si>
    <t xml:space="preserve">Growing plan: debt  PV</t>
  </si>
  <si>
    <t xml:space="preserve">Growing plan: monthly rate  R</t>
  </si>
  <si>
    <t xml:space="preserve">Total interest paid, level plan</t>
  </si>
  <si>
    <t xml:space="preserve">Growing plan: growth  g</t>
  </si>
  <si>
    <t xml:space="preserve">Total paid, level plan  (= T × CF)</t>
  </si>
  <si>
    <t xml:space="preserve">Growing plan: months  T</t>
  </si>
  <si>
    <t xml:space="preserve">Total paid, growing plan</t>
  </si>
  <si>
    <t xml:space="preserve">Growing plan: first payment  CF₁</t>
  </si>
  <si>
    <t xml:space="preserve">Growing payments start lower but end higher, so the total paid is larger (the debt is outstanding longer).</t>
  </si>
  <si>
    <t xml:space="preserve">SCHEDULE  (rows beyond T stay blank; the closing balances show 0 once the debt is repaid)</t>
  </si>
  <si>
    <t xml:space="preserve">Month t</t>
  </si>
  <si>
    <t xml:space="preserve">Opening balance</t>
  </si>
  <si>
    <t xml:space="preserve">Interest  R × opening</t>
  </si>
  <si>
    <t xml:space="preserve">Level payment</t>
  </si>
  <si>
    <t xml:space="preserve">Closing balance  (level)</t>
  </si>
  <si>
    <t xml:space="preserve">Opening balance (growing)</t>
  </si>
  <si>
    <t xml:space="preserve">Growing payment  CF₁(1+g)^(t−1)</t>
  </si>
  <si>
    <t xml:space="preserve">Closing balance  (growing)</t>
  </si>
  <si>
    <t xml:space="preserve">Savings if the level payment were saved at R</t>
  </si>
  <si>
    <t xml:space="preserve">Closing = opening × (1+R) − payment. The first months are mostly interest; as the balance falls, more of each payment repays principal.</t>
  </si>
  <si>
    <t xml:space="preserve">Frequency of compounding, effective annual rate, continuous compounding      (slides 29–34)</t>
  </si>
  <si>
    <t xml:space="preserve">APR (quoted rate) is what gets advertised. EAR is what you actually earn or pay in a year once interest compounds m times.</t>
  </si>
  <si>
    <t xml:space="preserve">A.  QUOTED RATE (APR) ↔ EFFECTIVE ANNUAL RATE (EAR)      EAR = (1 + APR/m)^m − 1</t>
  </si>
  <si>
    <t xml:space="preserve">EAR</t>
  </si>
  <si>
    <t xml:space="preserve">Quoted annual rate  APR</t>
  </si>
  <si>
    <t xml:space="preserve">APR = m × [(1 + EAR)^(1/m) − 1]</t>
  </si>
  <si>
    <t xml:space="preserve">Effective annual rate  EAR</t>
  </si>
  <si>
    <t xml:space="preserve">Compounding periods per year  m</t>
  </si>
  <si>
    <t xml:space="preserve">1 annual · 2 semi-annual · 4 quarterly · 12 monthly · 52 weekly · 365 daily</t>
  </si>
  <si>
    <t xml:space="preserve">Rate per compounding period  = APR / m</t>
  </si>
  <si>
    <t xml:space="preserve">The rate actually charged each period (1.5% per month on the slide)</t>
  </si>
  <si>
    <t xml:space="preserve">=EFFECT(APR, m)  ·  =NOMINAL(EAR, m)</t>
  </si>
  <si>
    <t xml:space="preserve">Continuous compounding (m → ∞):  EAR = e^APR − 1   ·   APR = ln(1 + EAR)</t>
  </si>
  <si>
    <t xml:space="preserve">(1 + r/m)^m → e^r as m grows without bound;  e = 2.71828…  (slide 31)</t>
  </si>
  <si>
    <t xml:space="preserve">Slide 29: 18% APR monthly → 19.56% EAR. Quoting the APR makes a loan look cheaper than it is.</t>
  </si>
  <si>
    <t xml:space="preserve">B.  ONE QUOTED RATE, MANY COMPOUNDING FREQUENCIES  (slide 30)</t>
  </si>
  <si>
    <t xml:space="preserve">Quoted rate  APR</t>
  </si>
  <si>
    <t xml:space="preserve">Frequency</t>
  </si>
  <si>
    <t xml:space="preserve">m</t>
  </si>
  <si>
    <t xml:space="preserve">Rate per period  APR/m</t>
  </si>
  <si>
    <t xml:space="preserve">EAR  (1 + APR/m)^m − 1</t>
  </si>
  <si>
    <t xml:space="preserve">Annual</t>
  </si>
  <si>
    <t xml:space="preserve">Semi-annual</t>
  </si>
  <si>
    <t xml:space="preserve">Quarterly</t>
  </si>
  <si>
    <t xml:space="preserve">Monthly</t>
  </si>
  <si>
    <t xml:space="preserve">Weekly</t>
  </si>
  <si>
    <t xml:space="preserve">Daily</t>
  </si>
  <si>
    <t xml:space="preserve">Continuous  (m → ∞)</t>
  </si>
  <si>
    <t xml:space="preserve">∞</t>
  </si>
  <si>
    <t xml:space="preserve">→ 0</t>
  </si>
  <si>
    <t xml:space="preserve">Each step up in frequency adds less and less: the EAR converges to e^APR − 1. Slide answers are rounded to 2–3 decimals.</t>
  </si>
  <si>
    <t xml:space="preserve">C.  FV AND FREQUENCY OF COMPOUNDING      FV = PV × (1 + APR/m)^(T×m) = PV × (1 + EAR)^T      (slide 32)</t>
  </si>
  <si>
    <t xml:space="preserve">Amount invested today  PV</t>
  </si>
  <si>
    <t xml:space="preserve">Two routes, one answer: convert APR to a per-period rate and count T×m periods, or convert APR to an EAR and count T years. With e^(R×T) the number of periods is infinite but the answer is finite.</t>
  </si>
  <si>
    <t xml:space="preserve">Years  T</t>
  </si>
  <si>
    <t xml:space="preserve">EAR  = (1 + APR/m)^m − 1</t>
  </si>
  <si>
    <t xml:space="preserve">FV, route 1:   PV × (1 + EAR)^T</t>
  </si>
  <si>
    <t xml:space="preserve">FV, route 2:   PV × (1 + APR/m)^(T × m)</t>
  </si>
  <si>
    <t xml:space="preserve">FV with continuous compounding:   PV × e^(APR × T)</t>
  </si>
  <si>
    <t xml:space="preserve">FV with annual compounding (m = 1):   PV × (1 + APR)^T</t>
  </si>
  <si>
    <t xml:space="preserve">Extra from compounding continuously instead of annually</t>
  </si>
  <si>
    <t xml:space="preserve">D.  CHART DATA — FV of the amount above at the quoted rate above  (slide 32)</t>
  </si>
  <si>
    <t xml:space="preserve">Annual (m = 1)</t>
  </si>
  <si>
    <t xml:space="preserve">Semi-annual (m = 2)</t>
  </si>
  <si>
    <t xml:space="preserve">Monthly (m = 12)</t>
  </si>
  <si>
    <t xml:space="preserve">Continuous</t>
  </si>
  <si>
    <t xml:space="preserve">E.  PAYDAY LOAN (slides 33–34): from a per-period price to APR and EAR</t>
  </si>
  <si>
    <t xml:space="preserve">Step</t>
  </si>
  <si>
    <t xml:space="preserve">Loan length in days</t>
  </si>
  <si>
    <t xml:space="preserve">Repayment per $100 borrowed</t>
  </si>
  <si>
    <t xml:space="preserve">Rate per period  = 117/100 − 1</t>
  </si>
  <si>
    <t xml:space="preserve">Periods per year  m = 365 / days</t>
  </si>
  <si>
    <t xml:space="preserve">APR that must be reported  = m × rate per period</t>
  </si>
  <si>
    <t xml:space="preserve">EAR  = (1 + rate per period)^m − 1</t>
  </si>
  <si>
    <t xml:space="preserve">APR just multiplies the period rate by the number of periods (no compounding). EAR compounds it — 443% becomes 5,893%.</t>
  </si>
  <si>
    <t xml:space="preserve">Credit card (slide 29): 18% APR, monthly  →  EAR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</si>
</sst>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.00"/>
    <numFmt numFmtId="166" formatCode="0.00%"/>
    <numFmt numFmtId="167" formatCode="0.0000"/>
    <numFmt numFmtId="168" formatCode="#,##0"/>
    <numFmt numFmtId="169" formatCode="0%"/>
    <numFmt numFmtId="170" formatCode="0"/>
    <numFmt numFmtId="171" formatCode="#,##0.00;\-#,##0.00;&quot;&quot;"/>
    <numFmt numFmtId="172" formatCode="0.00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5B2C8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5B2C8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DE7F6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DE7F6"/>
      </patternFill>
    </fill>
    <fill>
      <patternFill patternType="solid">
        <fgColor rgb="FFC6EFCE"/>
        <bgColor rgb="FFD9D9D9"/>
      </patternFill>
    </fill>
    <fill>
      <patternFill patternType="solid">
        <fgColor rgb="FF5B2C8F"/>
        <bgColor rgb="FF6600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sz val="1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2F2F2"/>
      <rgbColor rgb="FFEDE7F6"/>
      <rgbColor rgb="FF660066"/>
      <rgbColor rgb="FFFF8080"/>
      <rgbColor rgb="FF1F77B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467BD"/>
      <rgbColor rgb="FF003366"/>
      <rgbColor rgb="FF2CA02C"/>
      <rgbColor rgb="FF003300"/>
      <rgbColor rgb="FF333300"/>
      <rgbColor rgb="FFD62728"/>
      <rgbColor rgb="FF993366"/>
      <rgbColor rgb="FF5B2C8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Future value of the amount (slide 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'1 Single Cash Flow'!B36</c:f>
              <c:strCache>
                <c:ptCount val="1"/>
                <c:pt idx="0">
                  <c:v>FV at R = 0%</c:v>
                </c:pt>
              </c:strCache>
            </c:strRef>
          </c:tx>
          <c:spPr>
            <a:solidFill>
              <a:srgbClr val="1f77b4"/>
            </a:solidFill>
            <a:ln w="2556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 Single Cash Flow'!$A$37:$A$57</c:f>
              <c:strCach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'1 Single Cash Flow'!$B$37:$B$57</c:f>
              <c:numCache>
                <c:formatCode>#,##0</c:formatCode>
                <c:ptCount val="2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'1 Single Cash Flow'!C36</c:f>
              <c:strCache>
                <c:ptCount val="1"/>
                <c:pt idx="0">
                  <c:v>FV at R = 5%</c:v>
                </c:pt>
              </c:strCache>
            </c:strRef>
          </c:tx>
          <c:spPr>
            <a:solidFill>
              <a:srgbClr val="d62728"/>
            </a:solidFill>
            <a:ln w="25560">
              <a:solidFill>
                <a:srgbClr val="d6272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 Single Cash Flow'!$A$37:$A$57</c:f>
              <c:strCach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'1 Single Cash Flow'!$C$37:$C$57</c:f>
              <c:numCache>
                <c:formatCode>#,##0</c:formatCode>
                <c:ptCount val="21"/>
                <c:pt idx="0">
                  <c:v>100</c:v>
                </c:pt>
                <c:pt idx="1">
                  <c:v>105</c:v>
                </c:pt>
                <c:pt idx="2">
                  <c:v>110.25</c:v>
                </c:pt>
                <c:pt idx="3">
                  <c:v>115.7625</c:v>
                </c:pt>
                <c:pt idx="4">
                  <c:v>121.550625</c:v>
                </c:pt>
                <c:pt idx="5">
                  <c:v>127.62815625</c:v>
                </c:pt>
                <c:pt idx="6">
                  <c:v>134.0095640625</c:v>
                </c:pt>
                <c:pt idx="7">
                  <c:v>140.710042265625</c:v>
                </c:pt>
                <c:pt idx="8">
                  <c:v>147.745544378906</c:v>
                </c:pt>
                <c:pt idx="9">
                  <c:v>155.132821597852</c:v>
                </c:pt>
                <c:pt idx="10">
                  <c:v>162.889462677744</c:v>
                </c:pt>
                <c:pt idx="11">
                  <c:v>171.033935811631</c:v>
                </c:pt>
                <c:pt idx="12">
                  <c:v>179.585632602213</c:v>
                </c:pt>
                <c:pt idx="13">
                  <c:v>188.564914232324</c:v>
                </c:pt>
                <c:pt idx="14">
                  <c:v>197.99315994394</c:v>
                </c:pt>
                <c:pt idx="15">
                  <c:v>207.892817941137</c:v>
                </c:pt>
                <c:pt idx="16">
                  <c:v>218.287458838194</c:v>
                </c:pt>
                <c:pt idx="17">
                  <c:v>229.201831780103</c:v>
                </c:pt>
                <c:pt idx="18">
                  <c:v>240.661923369109</c:v>
                </c:pt>
                <c:pt idx="19">
                  <c:v>252.695019537564</c:v>
                </c:pt>
                <c:pt idx="20">
                  <c:v>265.329770514442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'1 Single Cash Flow'!D36</c:f>
              <c:strCache>
                <c:ptCount val="1"/>
                <c:pt idx="0">
                  <c:v>FV at R = 10%</c:v>
                </c:pt>
              </c:strCache>
            </c:strRef>
          </c:tx>
          <c:spPr>
            <a:solidFill>
              <a:srgbClr val="2ca02c"/>
            </a:solidFill>
            <a:ln w="25560">
              <a:solidFill>
                <a:srgbClr val="2ca0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 Single Cash Flow'!$A$37:$A$57</c:f>
              <c:strCach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'1 Single Cash Flow'!$D$37:$D$57</c:f>
              <c:numCache>
                <c:formatCode>#,##0</c:formatCode>
                <c:ptCount val="21"/>
                <c:pt idx="0">
                  <c:v>100</c:v>
                </c:pt>
                <c:pt idx="1">
                  <c:v>110</c:v>
                </c:pt>
                <c:pt idx="2">
                  <c:v>121</c:v>
                </c:pt>
                <c:pt idx="3">
                  <c:v>133.1</c:v>
                </c:pt>
                <c:pt idx="4">
                  <c:v>146.41</c:v>
                </c:pt>
                <c:pt idx="5">
                  <c:v>161.051</c:v>
                </c:pt>
                <c:pt idx="6">
                  <c:v>177.1561</c:v>
                </c:pt>
                <c:pt idx="7">
                  <c:v>194.87171</c:v>
                </c:pt>
                <c:pt idx="8">
                  <c:v>214.358881</c:v>
                </c:pt>
                <c:pt idx="9">
                  <c:v>235.7947691</c:v>
                </c:pt>
                <c:pt idx="10">
                  <c:v>259.37424601</c:v>
                </c:pt>
                <c:pt idx="11">
                  <c:v>285.311670611</c:v>
                </c:pt>
                <c:pt idx="12">
                  <c:v>313.8428376721</c:v>
                </c:pt>
                <c:pt idx="13">
                  <c:v>345.22712143931</c:v>
                </c:pt>
                <c:pt idx="14">
                  <c:v>379.749833583241</c:v>
                </c:pt>
                <c:pt idx="15">
                  <c:v>417.724816941566</c:v>
                </c:pt>
                <c:pt idx="16">
                  <c:v>459.497298635722</c:v>
                </c:pt>
                <c:pt idx="17">
                  <c:v>505.447028499295</c:v>
                </c:pt>
                <c:pt idx="18">
                  <c:v>555.991731349224</c:v>
                </c:pt>
                <c:pt idx="19">
                  <c:v>611.590904484146</c:v>
                </c:pt>
                <c:pt idx="20">
                  <c:v>672.749994932561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'1 Single Cash Flow'!E36</c:f>
              <c:strCache>
                <c:ptCount val="1"/>
                <c:pt idx="0">
                  <c:v>FV at R = 15%</c:v>
                </c:pt>
              </c:strCache>
            </c:strRef>
          </c:tx>
          <c:spPr>
            <a:solidFill>
              <a:srgbClr val="9467bd"/>
            </a:solidFill>
            <a:ln w="25560">
              <a:solidFill>
                <a:srgbClr val="9467b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 Single Cash Flow'!$A$37:$A$57</c:f>
              <c:strCach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'1 Single Cash Flow'!$E$37:$E$57</c:f>
              <c:numCache>
                <c:formatCode>#,##0</c:formatCode>
                <c:ptCount val="21"/>
                <c:pt idx="0">
                  <c:v>100</c:v>
                </c:pt>
                <c:pt idx="1">
                  <c:v>115</c:v>
                </c:pt>
                <c:pt idx="2">
                  <c:v>132.25</c:v>
                </c:pt>
                <c:pt idx="3">
                  <c:v>152.0875</c:v>
                </c:pt>
                <c:pt idx="4">
                  <c:v>174.900625</c:v>
                </c:pt>
                <c:pt idx="5">
                  <c:v>201.13571875</c:v>
                </c:pt>
                <c:pt idx="6">
                  <c:v>231.3060765625</c:v>
                </c:pt>
                <c:pt idx="7">
                  <c:v>266.001988046875</c:v>
                </c:pt>
                <c:pt idx="8">
                  <c:v>305.902286253906</c:v>
                </c:pt>
                <c:pt idx="9">
                  <c:v>351.787629191992</c:v>
                </c:pt>
                <c:pt idx="10">
                  <c:v>404.555773570791</c:v>
                </c:pt>
                <c:pt idx="11">
                  <c:v>465.239139606409</c:v>
                </c:pt>
                <c:pt idx="12">
                  <c:v>535.025010547371</c:v>
                </c:pt>
                <c:pt idx="13">
                  <c:v>615.278762129476</c:v>
                </c:pt>
                <c:pt idx="14">
                  <c:v>707.570576448898</c:v>
                </c:pt>
                <c:pt idx="15">
                  <c:v>813.706162916232</c:v>
                </c:pt>
                <c:pt idx="16">
                  <c:v>935.762087353667</c:v>
                </c:pt>
                <c:pt idx="17">
                  <c:v>1076.12640045672</c:v>
                </c:pt>
                <c:pt idx="18">
                  <c:v>1237.54536052522</c:v>
                </c:pt>
                <c:pt idx="19">
                  <c:v>1423.17716460401</c:v>
                </c:pt>
                <c:pt idx="20">
                  <c:v>1636.65373929461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7810076"/>
        <c:axId val="31124134"/>
      </c:lineChart>
      <c:catAx>
        <c:axId val="5781007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years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124134"/>
        <c:crosses val="autoZero"/>
        <c:auto val="1"/>
        <c:lblAlgn val="ctr"/>
        <c:lblOffset val="100"/>
        <c:noMultiLvlLbl val="0"/>
      </c:catAx>
      <c:valAx>
        <c:axId val="311241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Future 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8100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Present value of the amount (slide 9)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'1 Single Cash Flow'!H36</c:f>
              <c:strCache>
                <c:ptCount val="1"/>
                <c:pt idx="0">
                  <c:v>PV at R = 0%</c:v>
                </c:pt>
              </c:strCache>
            </c:strRef>
          </c:tx>
          <c:spPr>
            <a:solidFill>
              <a:srgbClr val="1f77b4"/>
            </a:solidFill>
            <a:ln w="2556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 Single Cash Flow'!$G$37:$G$57</c:f>
              <c:strCach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'1 Single Cash Flow'!$H$37:$H$57</c:f>
              <c:numCache>
                <c:formatCode>#,##0</c:formatCode>
                <c:ptCount val="2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'1 Single Cash Flow'!I36</c:f>
              <c:strCache>
                <c:ptCount val="1"/>
                <c:pt idx="0">
                  <c:v>PV at R = 5%</c:v>
                </c:pt>
              </c:strCache>
            </c:strRef>
          </c:tx>
          <c:spPr>
            <a:solidFill>
              <a:srgbClr val="d62728"/>
            </a:solidFill>
            <a:ln w="25560">
              <a:solidFill>
                <a:srgbClr val="d6272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 Single Cash Flow'!$G$37:$G$57</c:f>
              <c:strCach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'1 Single Cash Flow'!$I$37:$I$57</c:f>
              <c:numCache>
                <c:formatCode>#,##0</c:formatCode>
                <c:ptCount val="21"/>
                <c:pt idx="0">
                  <c:v>100</c:v>
                </c:pt>
                <c:pt idx="1">
                  <c:v>95.2380952380952</c:v>
                </c:pt>
                <c:pt idx="2">
                  <c:v>90.702947845805</c:v>
                </c:pt>
                <c:pt idx="3">
                  <c:v>86.3837598531476</c:v>
                </c:pt>
                <c:pt idx="4">
                  <c:v>82.2702474791882</c:v>
                </c:pt>
                <c:pt idx="5">
                  <c:v>78.3526166468459</c:v>
                </c:pt>
                <c:pt idx="6">
                  <c:v>74.6215396636627</c:v>
                </c:pt>
                <c:pt idx="7">
                  <c:v>71.0681330130121</c:v>
                </c:pt>
                <c:pt idx="8">
                  <c:v>67.6839362028687</c:v>
                </c:pt>
                <c:pt idx="9">
                  <c:v>64.4608916217797</c:v>
                </c:pt>
                <c:pt idx="10">
                  <c:v>61.3913253540759</c:v>
                </c:pt>
                <c:pt idx="11">
                  <c:v>58.4679289086437</c:v>
                </c:pt>
                <c:pt idx="12">
                  <c:v>55.6837418177559</c:v>
                </c:pt>
                <c:pt idx="13">
                  <c:v>53.0321350645295</c:v>
                </c:pt>
                <c:pt idx="14">
                  <c:v>50.5067952995519</c:v>
                </c:pt>
                <c:pt idx="15">
                  <c:v>48.101709809097</c:v>
                </c:pt>
                <c:pt idx="16">
                  <c:v>45.81115219914</c:v>
                </c:pt>
                <c:pt idx="17">
                  <c:v>43.6296687610857</c:v>
                </c:pt>
                <c:pt idx="18">
                  <c:v>41.5520654867483</c:v>
                </c:pt>
                <c:pt idx="19">
                  <c:v>39.573395701665</c:v>
                </c:pt>
                <c:pt idx="20">
                  <c:v>37.6889482873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'1 Single Cash Flow'!J36</c:f>
              <c:strCache>
                <c:ptCount val="1"/>
                <c:pt idx="0">
                  <c:v>PV at R = 10%</c:v>
                </c:pt>
              </c:strCache>
            </c:strRef>
          </c:tx>
          <c:spPr>
            <a:solidFill>
              <a:srgbClr val="2ca02c"/>
            </a:solidFill>
            <a:ln w="25560">
              <a:solidFill>
                <a:srgbClr val="2ca0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 Single Cash Flow'!$G$37:$G$57</c:f>
              <c:strCach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'1 Single Cash Flow'!$J$37:$J$57</c:f>
              <c:numCache>
                <c:formatCode>#,##0</c:formatCode>
                <c:ptCount val="21"/>
                <c:pt idx="0">
                  <c:v>100</c:v>
                </c:pt>
                <c:pt idx="1">
                  <c:v>90.9090909090909</c:v>
                </c:pt>
                <c:pt idx="2">
                  <c:v>82.6446280991735</c:v>
                </c:pt>
                <c:pt idx="3">
                  <c:v>75.1314800901578</c:v>
                </c:pt>
                <c:pt idx="4">
                  <c:v>68.3013455365071</c:v>
                </c:pt>
                <c:pt idx="5">
                  <c:v>62.0921323059155</c:v>
                </c:pt>
                <c:pt idx="6">
                  <c:v>56.4473930053777</c:v>
                </c:pt>
                <c:pt idx="7">
                  <c:v>51.3158118230706</c:v>
                </c:pt>
                <c:pt idx="8">
                  <c:v>46.6507380209733</c:v>
                </c:pt>
                <c:pt idx="9">
                  <c:v>42.4097618372485</c:v>
                </c:pt>
                <c:pt idx="10">
                  <c:v>38.5543289429531</c:v>
                </c:pt>
                <c:pt idx="11">
                  <c:v>35.0493899481392</c:v>
                </c:pt>
                <c:pt idx="12">
                  <c:v>31.8630817710357</c:v>
                </c:pt>
                <c:pt idx="13">
                  <c:v>28.9664379736688</c:v>
                </c:pt>
                <c:pt idx="14">
                  <c:v>26.333125430608</c:v>
                </c:pt>
                <c:pt idx="15">
                  <c:v>23.9392049369163</c:v>
                </c:pt>
                <c:pt idx="16">
                  <c:v>21.7629135790149</c:v>
                </c:pt>
                <c:pt idx="17">
                  <c:v>19.7844668900135</c:v>
                </c:pt>
                <c:pt idx="18">
                  <c:v>17.9858789909214</c:v>
                </c:pt>
                <c:pt idx="19">
                  <c:v>16.3507990826558</c:v>
                </c:pt>
                <c:pt idx="20">
                  <c:v>14.8643628024143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'1 Single Cash Flow'!K36</c:f>
              <c:strCache>
                <c:ptCount val="1"/>
                <c:pt idx="0">
                  <c:v>PV at R = 15%</c:v>
                </c:pt>
              </c:strCache>
            </c:strRef>
          </c:tx>
          <c:spPr>
            <a:solidFill>
              <a:srgbClr val="9467bd"/>
            </a:solidFill>
            <a:ln w="25560">
              <a:solidFill>
                <a:srgbClr val="9467b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 Single Cash Flow'!$G$37:$G$57</c:f>
              <c:strCach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'1 Single Cash Flow'!$K$37:$K$57</c:f>
              <c:numCache>
                <c:formatCode>#,##0</c:formatCode>
                <c:ptCount val="21"/>
                <c:pt idx="0">
                  <c:v>100</c:v>
                </c:pt>
                <c:pt idx="1">
                  <c:v>86.9565217391304</c:v>
                </c:pt>
                <c:pt idx="2">
                  <c:v>75.6143667296787</c:v>
                </c:pt>
                <c:pt idx="3">
                  <c:v>65.7516232431988</c:v>
                </c:pt>
                <c:pt idx="4">
                  <c:v>57.1753245593033</c:v>
                </c:pt>
                <c:pt idx="5">
                  <c:v>49.717673529829</c:v>
                </c:pt>
                <c:pt idx="6">
                  <c:v>43.2327595911557</c:v>
                </c:pt>
                <c:pt idx="7">
                  <c:v>37.5937039923093</c:v>
                </c:pt>
                <c:pt idx="8">
                  <c:v>32.6901773846168</c:v>
                </c:pt>
                <c:pt idx="9">
                  <c:v>28.4262412040146</c:v>
                </c:pt>
                <c:pt idx="10">
                  <c:v>24.7184706121866</c:v>
                </c:pt>
                <c:pt idx="11">
                  <c:v>21.4943222714666</c:v>
                </c:pt>
                <c:pt idx="12">
                  <c:v>18.6907150186666</c:v>
                </c:pt>
                <c:pt idx="13">
                  <c:v>16.2527956684057</c:v>
                </c:pt>
                <c:pt idx="14">
                  <c:v>14.1328657986137</c:v>
                </c:pt>
                <c:pt idx="15">
                  <c:v>12.2894485205336</c:v>
                </c:pt>
                <c:pt idx="16">
                  <c:v>10.6864769743771</c:v>
                </c:pt>
                <c:pt idx="17">
                  <c:v>9.29258867337138</c:v>
                </c:pt>
                <c:pt idx="18">
                  <c:v>8.08051188988816</c:v>
                </c:pt>
                <c:pt idx="19">
                  <c:v>7.02653207816362</c:v>
                </c:pt>
                <c:pt idx="20">
                  <c:v>6.11002789405532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6572462"/>
        <c:axId val="19919812"/>
      </c:lineChart>
      <c:catAx>
        <c:axId val="465724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Years until received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919812"/>
        <c:crosses val="autoZero"/>
        <c:auto val="1"/>
        <c:lblAlgn val="ctr"/>
        <c:lblOffset val="100"/>
        <c:noMultiLvlLbl val="0"/>
      </c:catAx>
      <c:valAx>
        <c:axId val="199198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Present 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5724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Each cash flow vs. its present value (first 10 periods)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'2 Multiple Cash Flows'!B19</c:f>
              <c:strCache>
                <c:ptCount val="1"/>
                <c:pt idx="0">
                  <c:v>Cash flow  CFₜ</c:v>
                </c:pt>
              </c:strCache>
            </c:strRef>
          </c:tx>
          <c:spPr>
            <a:solidFill>
              <a:srgbClr val="1f77b4"/>
            </a:solidFill>
            <a:ln w="0">
              <a:solidFill>
                <a:srgbClr val="1f77b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 Multiple Cash Flows'!$A$20:$A$29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'2 Multiple Cash Flows'!$B$20:$B$29</c:f>
              <c:numCache>
                <c:formatCode>#,##0.00</c:formatCode>
                <c:ptCount val="1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540</c:v>
                </c:pt>
              </c:numCache>
            </c:numRef>
          </c:val>
        </c:ser>
        <c:ser>
          <c:idx val="1"/>
          <c:order val="1"/>
          <c:tx>
            <c:strRef>
              <c:f>'2 Multiple Cash Flows'!D19</c:f>
              <c:strCache>
                <c:ptCount val="1"/>
                <c:pt idx="0">
                  <c:v>PV of CFₜ</c:v>
                </c:pt>
              </c:strCache>
            </c:strRef>
          </c:tx>
          <c:spPr>
            <a:solidFill>
              <a:srgbClr val="d62728"/>
            </a:solidFill>
            <a:ln w="0">
              <a:solidFill>
                <a:srgbClr val="d62728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 Multiple Cash Flows'!$A$20:$A$29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'2 Multiple Cash Flows'!$D$20:$D$29</c:f>
              <c:numCache>
                <c:formatCode>#,##0.00</c:formatCode>
                <c:ptCount val="10"/>
                <c:pt idx="0">
                  <c:v>37.7358490566038</c:v>
                </c:pt>
                <c:pt idx="1">
                  <c:v>35.5998576005696</c:v>
                </c:pt>
                <c:pt idx="2">
                  <c:v>33.5847713212921</c:v>
                </c:pt>
                <c:pt idx="3">
                  <c:v>31.6837465295208</c:v>
                </c:pt>
                <c:pt idx="4">
                  <c:v>403.519413347671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gapWidth val="150"/>
        <c:overlap val="0"/>
        <c:axId val="81112526"/>
        <c:axId val="71148977"/>
      </c:barChart>
      <c:catAx>
        <c:axId val="811125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Period 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148977"/>
        <c:crosses val="autoZero"/>
        <c:auto val="1"/>
        <c:lblAlgn val="ctr"/>
        <c:lblOffset val="100"/>
        <c:noMultiLvlLbl val="0"/>
      </c:catAx>
      <c:valAx>
        <c:axId val="711489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1125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Running total of discounted cash flows → the perpetuity formulas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'3 Perpetuities'!D31</c:f>
              <c:strCache>
                <c:ptCount val="1"/>
                <c:pt idx="0">
                  <c:v>Running total (level)</c:v>
                </c:pt>
              </c:strCache>
            </c:strRef>
          </c:tx>
          <c:spPr>
            <a:solidFill>
              <a:srgbClr val="1f77b4"/>
            </a:solidFill>
            <a:ln w="2556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 Perpetuities'!$A$32:$A$131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'3 Perpetuities'!$D$32:$D$131</c:f>
              <c:numCache>
                <c:formatCode>#,##0.00</c:formatCode>
                <c:ptCount val="100"/>
                <c:pt idx="0">
                  <c:v>9.25925925925926</c:v>
                </c:pt>
                <c:pt idx="1">
                  <c:v>17.8326474622771</c:v>
                </c:pt>
                <c:pt idx="2">
                  <c:v>25.7709698724788</c:v>
                </c:pt>
                <c:pt idx="3">
                  <c:v>33.1212684004433</c:v>
                </c:pt>
                <c:pt idx="4">
                  <c:v>39.9271003707809</c:v>
                </c:pt>
                <c:pt idx="5">
                  <c:v>46.2287966396119</c:v>
                </c:pt>
                <c:pt idx="6">
                  <c:v>52.0637005922332</c:v>
                </c:pt>
                <c:pt idx="7">
                  <c:v>57.466389437253</c:v>
                </c:pt>
                <c:pt idx="8">
                  <c:v>62.4688791085676</c:v>
                </c:pt>
                <c:pt idx="9">
                  <c:v>67.1008139894144</c:v>
                </c:pt>
                <c:pt idx="10">
                  <c:v>71.3896425827911</c:v>
                </c:pt>
                <c:pt idx="11">
                  <c:v>75.360780169251</c:v>
                </c:pt>
                <c:pt idx="12">
                  <c:v>79.0377594159732</c:v>
                </c:pt>
                <c:pt idx="13">
                  <c:v>82.4423698296048</c:v>
                </c:pt>
                <c:pt idx="14">
                  <c:v>85.5947868792637</c:v>
                </c:pt>
                <c:pt idx="15">
                  <c:v>88.5136915548738</c:v>
                </c:pt>
                <c:pt idx="16">
                  <c:v>91.2163810693276</c:v>
                </c:pt>
                <c:pt idx="17">
                  <c:v>93.7188713604885</c:v>
                </c:pt>
                <c:pt idx="18">
                  <c:v>96.0359920004523</c:v>
                </c:pt>
                <c:pt idx="19">
                  <c:v>98.1814740744929</c:v>
                </c:pt>
                <c:pt idx="20">
                  <c:v>100.168031550456</c:v>
                </c:pt>
                <c:pt idx="21">
                  <c:v>102.007436620793</c:v>
                </c:pt>
                <c:pt idx="22">
                  <c:v>103.710589463697</c:v>
                </c:pt>
                <c:pt idx="23">
                  <c:v>105.287582836757</c:v>
                </c:pt>
                <c:pt idx="24">
                  <c:v>106.747761885886</c:v>
                </c:pt>
                <c:pt idx="25">
                  <c:v>108.099779523968</c:v>
                </c:pt>
                <c:pt idx="26">
                  <c:v>109.351647707378</c:v>
                </c:pt>
                <c:pt idx="27">
                  <c:v>110.510784914239</c:v>
                </c:pt>
                <c:pt idx="28">
                  <c:v>111.584060105777</c:v>
                </c:pt>
                <c:pt idx="29">
                  <c:v>112.577833431275</c:v>
                </c:pt>
                <c:pt idx="30">
                  <c:v>113.497993917847</c:v>
                </c:pt>
                <c:pt idx="31">
                  <c:v>114.349994368377</c:v>
                </c:pt>
                <c:pt idx="32">
                  <c:v>115.138883674423</c:v>
                </c:pt>
                <c:pt idx="33">
                  <c:v>115.869336735577</c:v>
                </c:pt>
                <c:pt idx="34">
                  <c:v>116.545682162571</c:v>
                </c:pt>
                <c:pt idx="35">
                  <c:v>117.171927928307</c:v>
                </c:pt>
                <c:pt idx="36">
                  <c:v>117.751785118802</c:v>
                </c:pt>
                <c:pt idx="37">
                  <c:v>118.288689924817</c:v>
                </c:pt>
                <c:pt idx="38">
                  <c:v>118.78582400446</c:v>
                </c:pt>
                <c:pt idx="39">
                  <c:v>119.246133337463</c:v>
                </c:pt>
                <c:pt idx="40">
                  <c:v>119.672345682836</c:v>
                </c:pt>
                <c:pt idx="41">
                  <c:v>120.066986743367</c:v>
                </c:pt>
                <c:pt idx="42">
                  <c:v>120.432395132747</c:v>
                </c:pt>
                <c:pt idx="43">
                  <c:v>120.770736234025</c:v>
                </c:pt>
                <c:pt idx="44">
                  <c:v>121.084015031505</c:v>
                </c:pt>
                <c:pt idx="45">
                  <c:v>121.374087992134</c:v>
                </c:pt>
                <c:pt idx="46">
                  <c:v>121.642674066791</c:v>
                </c:pt>
                <c:pt idx="47">
                  <c:v>121.891364876658</c:v>
                </c:pt>
                <c:pt idx="48">
                  <c:v>122.121634145054</c:v>
                </c:pt>
                <c:pt idx="49">
                  <c:v>122.334846430605</c:v>
                </c:pt>
                <c:pt idx="50">
                  <c:v>122.532265213523</c:v>
                </c:pt>
                <c:pt idx="51">
                  <c:v>122.715060382892</c:v>
                </c:pt>
                <c:pt idx="52">
                  <c:v>122.884315169344</c:v>
                </c:pt>
                <c:pt idx="53">
                  <c:v>123.041032564208</c:v>
                </c:pt>
                <c:pt idx="54">
                  <c:v>123.186141263155</c:v>
                </c:pt>
                <c:pt idx="55">
                  <c:v>123.320501169588</c:v>
                </c:pt>
                <c:pt idx="56">
                  <c:v>123.44490849036</c:v>
                </c:pt>
                <c:pt idx="57">
                  <c:v>123.560100454037</c:v>
                </c:pt>
                <c:pt idx="58">
                  <c:v>123.666759679664</c:v>
                </c:pt>
                <c:pt idx="59">
                  <c:v>123.765518221911</c:v>
                </c:pt>
                <c:pt idx="60">
                  <c:v>123.856961316584</c:v>
                </c:pt>
                <c:pt idx="61">
                  <c:v>123.941630848689</c:v>
                </c:pt>
                <c:pt idx="62">
                  <c:v>124.020028563601</c:v>
                </c:pt>
                <c:pt idx="63">
                  <c:v>124.092619040371</c:v>
                </c:pt>
                <c:pt idx="64">
                  <c:v>124.159832444788</c:v>
                </c:pt>
                <c:pt idx="65">
                  <c:v>124.222067078507</c:v>
                </c:pt>
                <c:pt idx="66">
                  <c:v>124.279691739359</c:v>
                </c:pt>
                <c:pt idx="67">
                  <c:v>124.333047906814</c:v>
                </c:pt>
                <c:pt idx="68">
                  <c:v>124.382451765568</c:v>
                </c:pt>
                <c:pt idx="69">
                  <c:v>124.42819607923</c:v>
                </c:pt>
                <c:pt idx="70">
                  <c:v>124.470551925213</c:v>
                </c:pt>
                <c:pt idx="71">
                  <c:v>124.509770301123</c:v>
                </c:pt>
                <c:pt idx="72">
                  <c:v>124.546083612151</c:v>
                </c:pt>
                <c:pt idx="73">
                  <c:v>124.579707048288</c:v>
                </c:pt>
                <c:pt idx="74">
                  <c:v>124.610839859526</c:v>
                </c:pt>
                <c:pt idx="75">
                  <c:v>124.639666536598</c:v>
                </c:pt>
                <c:pt idx="76">
                  <c:v>124.666357904257</c:v>
                </c:pt>
                <c:pt idx="77">
                  <c:v>124.691072133572</c:v>
                </c:pt>
                <c:pt idx="78">
                  <c:v>124.713955679233</c:v>
                </c:pt>
                <c:pt idx="79">
                  <c:v>124.735144147438</c:v>
                </c:pt>
                <c:pt idx="80">
                  <c:v>124.75476309948</c:v>
                </c:pt>
                <c:pt idx="81">
                  <c:v>124.772928795814</c:v>
                </c:pt>
                <c:pt idx="82">
                  <c:v>124.789748885013</c:v>
                </c:pt>
                <c:pt idx="83">
                  <c:v>124.805323041679</c:v>
                </c:pt>
                <c:pt idx="84">
                  <c:v>124.81974355711</c:v>
                </c:pt>
                <c:pt idx="85">
                  <c:v>124.833095886213</c:v>
                </c:pt>
                <c:pt idx="86">
                  <c:v>124.845459153901</c:v>
                </c:pt>
                <c:pt idx="87">
                  <c:v>124.856906623982</c:v>
                </c:pt>
                <c:pt idx="88">
                  <c:v>124.867506133317</c:v>
                </c:pt>
                <c:pt idx="89">
                  <c:v>124.877320493812</c:v>
                </c:pt>
                <c:pt idx="90">
                  <c:v>124.886407864641</c:v>
                </c:pt>
                <c:pt idx="91">
                  <c:v>124.89482209689</c:v>
                </c:pt>
                <c:pt idx="92">
                  <c:v>124.902613052676</c:v>
                </c:pt>
                <c:pt idx="93">
                  <c:v>124.909826900626</c:v>
                </c:pt>
                <c:pt idx="94">
                  <c:v>124.916506389468</c:v>
                </c:pt>
                <c:pt idx="95">
                  <c:v>124.922691101359</c:v>
                </c:pt>
                <c:pt idx="96">
                  <c:v>124.928417686444</c:v>
                </c:pt>
                <c:pt idx="97">
                  <c:v>124.933720080041</c:v>
                </c:pt>
                <c:pt idx="98">
                  <c:v>124.938629703741</c:v>
                </c:pt>
                <c:pt idx="99">
                  <c:v>124.943175651612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'3 Perpetuities'!G31</c:f>
              <c:strCache>
                <c:ptCount val="1"/>
                <c:pt idx="0">
                  <c:v>Running total (growing)</c:v>
                </c:pt>
              </c:strCache>
            </c:strRef>
          </c:tx>
          <c:spPr>
            <a:solidFill>
              <a:srgbClr val="d62728"/>
            </a:solidFill>
            <a:ln w="25560">
              <a:solidFill>
                <a:srgbClr val="d6272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 Perpetuities'!$A$32:$A$131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'3 Perpetuities'!$G$32:$G$131</c:f>
              <c:numCache>
                <c:formatCode>#,##0.00</c:formatCode>
                <c:ptCount val="100"/>
                <c:pt idx="0">
                  <c:v>9.25925925925926</c:v>
                </c:pt>
                <c:pt idx="1">
                  <c:v>18.1755829903978</c:v>
                </c:pt>
                <c:pt idx="2">
                  <c:v>26.761672509272</c:v>
                </c:pt>
                <c:pt idx="3">
                  <c:v>35.0297587126323</c:v>
                </c:pt>
                <c:pt idx="4">
                  <c:v>42.9916195010533</c:v>
                </c:pt>
                <c:pt idx="5">
                  <c:v>50.6585965565698</c:v>
                </c:pt>
                <c:pt idx="6">
                  <c:v>58.0416114989191</c:v>
                </c:pt>
                <c:pt idx="7">
                  <c:v>65.1511814434036</c:v>
                </c:pt>
                <c:pt idx="8">
                  <c:v>71.9974339825368</c:v>
                </c:pt>
                <c:pt idx="9">
                  <c:v>78.5901216128132</c:v>
                </c:pt>
                <c:pt idx="10">
                  <c:v>84.9386356271534</c:v>
                </c:pt>
                <c:pt idx="11">
                  <c:v>91.0520194928144</c:v>
                </c:pt>
                <c:pt idx="12">
                  <c:v>96.9389817338213</c:v>
                </c:pt>
                <c:pt idx="13">
                  <c:v>102.607908336272</c:v>
                </c:pt>
                <c:pt idx="14">
                  <c:v>108.066874694188</c:v>
                </c:pt>
                <c:pt idx="15">
                  <c:v>113.323657112922</c:v>
                </c:pt>
                <c:pt idx="16">
                  <c:v>118.385743886517</c:v>
                </c:pt>
                <c:pt idx="17">
                  <c:v>123.260345964795</c:v>
                </c:pt>
                <c:pt idx="18">
                  <c:v>127.954407225358</c:v>
                </c:pt>
                <c:pt idx="19">
                  <c:v>132.474614365159</c:v>
                </c:pt>
                <c:pt idx="20">
                  <c:v>136.827406425709</c:v>
                </c:pt>
                <c:pt idx="21">
                  <c:v>141.018983965497</c:v>
                </c:pt>
                <c:pt idx="22">
                  <c:v>145.055317892701</c:v>
                </c:pt>
                <c:pt idx="23">
                  <c:v>148.942157970749</c:v>
                </c:pt>
                <c:pt idx="24">
                  <c:v>152.68504100887</c:v>
                </c:pt>
                <c:pt idx="25">
                  <c:v>156.289298749282</c:v>
                </c:pt>
                <c:pt idx="26">
                  <c:v>159.760065462272</c:v>
                </c:pt>
                <c:pt idx="27">
                  <c:v>163.102285259965</c:v>
                </c:pt>
                <c:pt idx="28">
                  <c:v>166.320719139226</c:v>
                </c:pt>
                <c:pt idx="29">
                  <c:v>169.419951763699</c:v>
                </c:pt>
                <c:pt idx="30">
                  <c:v>172.404397994673</c:v>
                </c:pt>
                <c:pt idx="31">
                  <c:v>175.278309180055</c:v>
                </c:pt>
                <c:pt idx="32">
                  <c:v>178.045779210424</c:v>
                </c:pt>
                <c:pt idx="33">
                  <c:v>180.710750350778</c:v>
                </c:pt>
                <c:pt idx="34">
                  <c:v>183.277018856305</c:v>
                </c:pt>
                <c:pt idx="35">
                  <c:v>185.748240380146</c:v>
                </c:pt>
                <c:pt idx="36">
                  <c:v>188.127935180881</c:v>
                </c:pt>
                <c:pt idx="37">
                  <c:v>190.419493137145</c:v>
                </c:pt>
                <c:pt idx="38">
                  <c:v>192.62617857651</c:v>
                </c:pt>
                <c:pt idx="39">
                  <c:v>194.751134925528</c:v>
                </c:pt>
                <c:pt idx="40">
                  <c:v>196.797389187545</c:v>
                </c:pt>
                <c:pt idx="41">
                  <c:v>198.767856254673</c:v>
                </c:pt>
                <c:pt idx="42">
                  <c:v>200.665343060056</c:v>
                </c:pt>
                <c:pt idx="43">
                  <c:v>202.49255257635</c:v>
                </c:pt>
                <c:pt idx="44">
                  <c:v>204.252087666115</c:v>
                </c:pt>
                <c:pt idx="45">
                  <c:v>205.946454789592</c:v>
                </c:pt>
                <c:pt idx="46">
                  <c:v>207.578067575163</c:v>
                </c:pt>
                <c:pt idx="47">
                  <c:v>209.149250257564</c:v>
                </c:pt>
                <c:pt idx="48">
                  <c:v>210.662240988765</c:v>
                </c:pt>
                <c:pt idx="49">
                  <c:v>212.119195026218</c:v>
                </c:pt>
                <c:pt idx="50">
                  <c:v>213.522187803025</c:v>
                </c:pt>
                <c:pt idx="51">
                  <c:v>214.873217884395</c:v>
                </c:pt>
                <c:pt idx="52">
                  <c:v>216.174209814602</c:v>
                </c:pt>
                <c:pt idx="53">
                  <c:v>217.427016858506</c:v>
                </c:pt>
                <c:pt idx="54">
                  <c:v>218.633423641524</c:v>
                </c:pt>
                <c:pt idx="55">
                  <c:v>219.795148691838</c:v>
                </c:pt>
                <c:pt idx="56">
                  <c:v>220.913846888437</c:v>
                </c:pt>
                <c:pt idx="57">
                  <c:v>221.991111818495</c:v>
                </c:pt>
                <c:pt idx="58">
                  <c:v>223.028478047439</c:v>
                </c:pt>
                <c:pt idx="59">
                  <c:v>224.027423304941</c:v>
                </c:pt>
                <c:pt idx="60">
                  <c:v>224.989370589944</c:v>
                </c:pt>
                <c:pt idx="61">
                  <c:v>225.915690197723</c:v>
                </c:pt>
                <c:pt idx="62">
                  <c:v>226.807701671882</c:v>
                </c:pt>
                <c:pt idx="63">
                  <c:v>227.666675684034</c:v>
                </c:pt>
                <c:pt idx="64">
                  <c:v>228.493835843885</c:v>
                </c:pt>
                <c:pt idx="65">
                  <c:v>229.29036044226</c:v>
                </c:pt>
                <c:pt idx="66">
                  <c:v>230.057384129583</c:v>
                </c:pt>
                <c:pt idx="67">
                  <c:v>230.795999532191</c:v>
                </c:pt>
                <c:pt idx="68">
                  <c:v>231.507258808777</c:v>
                </c:pt>
                <c:pt idx="69">
                  <c:v>232.192175149192</c:v>
                </c:pt>
                <c:pt idx="70">
                  <c:v>232.851724217741</c:v>
                </c:pt>
                <c:pt idx="71">
                  <c:v>233.48684554301</c:v>
                </c:pt>
                <c:pt idx="72">
                  <c:v>234.098443856232</c:v>
                </c:pt>
                <c:pt idx="73">
                  <c:v>234.687390380075</c:v>
                </c:pt>
                <c:pt idx="74">
                  <c:v>235.254524069702</c:v>
                </c:pt>
                <c:pt idx="75">
                  <c:v>235.800652807861</c:v>
                </c:pt>
                <c:pt idx="76">
                  <c:v>236.326554555718</c:v>
                </c:pt>
                <c:pt idx="77">
                  <c:v>236.832978461062</c:v>
                </c:pt>
                <c:pt idx="78">
                  <c:v>237.320645925467</c:v>
                </c:pt>
                <c:pt idx="79">
                  <c:v>237.790251631931</c:v>
                </c:pt>
                <c:pt idx="80">
                  <c:v>238.242464534452</c:v>
                </c:pt>
                <c:pt idx="81">
                  <c:v>238.677928810954</c:v>
                </c:pt>
                <c:pt idx="82">
                  <c:v>239.097264780918</c:v>
                </c:pt>
                <c:pt idx="83">
                  <c:v>239.501069789033</c:v>
                </c:pt>
                <c:pt idx="84">
                  <c:v>239.889919056105</c:v>
                </c:pt>
                <c:pt idx="85">
                  <c:v>240.264366498472</c:v>
                </c:pt>
                <c:pt idx="86">
                  <c:v>240.624945517047</c:v>
                </c:pt>
                <c:pt idx="87">
                  <c:v>240.972169757156</c:v>
                </c:pt>
                <c:pt idx="88">
                  <c:v>241.306533840225</c:v>
                </c:pt>
                <c:pt idx="89">
                  <c:v>241.628514068364</c:v>
                </c:pt>
                <c:pt idx="90">
                  <c:v>241.938569102869</c:v>
                </c:pt>
                <c:pt idx="91">
                  <c:v>242.237140617578</c:v>
                </c:pt>
                <c:pt idx="92">
                  <c:v>242.524653928038</c:v>
                </c:pt>
                <c:pt idx="93">
                  <c:v>242.80151859737</c:v>
                </c:pt>
                <c:pt idx="94">
                  <c:v>243.06812901969</c:v>
                </c:pt>
                <c:pt idx="95">
                  <c:v>243.324864981923</c:v>
                </c:pt>
                <c:pt idx="96">
                  <c:v>243.572092204815</c:v>
                </c:pt>
                <c:pt idx="97">
                  <c:v>243.810162863896</c:v>
                </c:pt>
                <c:pt idx="98">
                  <c:v>244.039416091159</c:v>
                </c:pt>
                <c:pt idx="99">
                  <c:v>244.260178458153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'3 Perpetuities'!H31</c:f>
              <c:strCache>
                <c:ptCount val="1"/>
                <c:pt idx="0">
                  <c:v>Target CF/R</c:v>
                </c:pt>
              </c:strCache>
            </c:strRef>
          </c:tx>
          <c:spPr>
            <a:solidFill>
              <a:srgbClr val="2ca02c"/>
            </a:solidFill>
            <a:ln w="25560">
              <a:solidFill>
                <a:srgbClr val="2ca0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 Perpetuities'!$A$32:$A$131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'3 Perpetuities'!$H$32:$H$131</c:f>
              <c:numCache>
                <c:formatCode>#,##0.00</c:formatCode>
                <c:ptCount val="100"/>
                <c:pt idx="0">
                  <c:v>125</c:v>
                </c:pt>
                <c:pt idx="1">
                  <c:v>125</c:v>
                </c:pt>
                <c:pt idx="2">
                  <c:v>125</c:v>
                </c:pt>
                <c:pt idx="3">
                  <c:v>125</c:v>
                </c:pt>
                <c:pt idx="4">
                  <c:v>125</c:v>
                </c:pt>
                <c:pt idx="5">
                  <c:v>125</c:v>
                </c:pt>
                <c:pt idx="6">
                  <c:v>125</c:v>
                </c:pt>
                <c:pt idx="7">
                  <c:v>125</c:v>
                </c:pt>
                <c:pt idx="8">
                  <c:v>125</c:v>
                </c:pt>
                <c:pt idx="9">
                  <c:v>125</c:v>
                </c:pt>
                <c:pt idx="10">
                  <c:v>125</c:v>
                </c:pt>
                <c:pt idx="11">
                  <c:v>125</c:v>
                </c:pt>
                <c:pt idx="12">
                  <c:v>125</c:v>
                </c:pt>
                <c:pt idx="13">
                  <c:v>125</c:v>
                </c:pt>
                <c:pt idx="14">
                  <c:v>125</c:v>
                </c:pt>
                <c:pt idx="15">
                  <c:v>125</c:v>
                </c:pt>
                <c:pt idx="16">
                  <c:v>125</c:v>
                </c:pt>
                <c:pt idx="17">
                  <c:v>125</c:v>
                </c:pt>
                <c:pt idx="18">
                  <c:v>125</c:v>
                </c:pt>
                <c:pt idx="19">
                  <c:v>125</c:v>
                </c:pt>
                <c:pt idx="20">
                  <c:v>125</c:v>
                </c:pt>
                <c:pt idx="21">
                  <c:v>125</c:v>
                </c:pt>
                <c:pt idx="22">
                  <c:v>125</c:v>
                </c:pt>
                <c:pt idx="23">
                  <c:v>125</c:v>
                </c:pt>
                <c:pt idx="24">
                  <c:v>125</c:v>
                </c:pt>
                <c:pt idx="25">
                  <c:v>125</c:v>
                </c:pt>
                <c:pt idx="26">
                  <c:v>125</c:v>
                </c:pt>
                <c:pt idx="27">
                  <c:v>125</c:v>
                </c:pt>
                <c:pt idx="28">
                  <c:v>125</c:v>
                </c:pt>
                <c:pt idx="29">
                  <c:v>125</c:v>
                </c:pt>
                <c:pt idx="30">
                  <c:v>125</c:v>
                </c:pt>
                <c:pt idx="31">
                  <c:v>125</c:v>
                </c:pt>
                <c:pt idx="32">
                  <c:v>125</c:v>
                </c:pt>
                <c:pt idx="33">
                  <c:v>125</c:v>
                </c:pt>
                <c:pt idx="34">
                  <c:v>125</c:v>
                </c:pt>
                <c:pt idx="35">
                  <c:v>125</c:v>
                </c:pt>
                <c:pt idx="36">
                  <c:v>125</c:v>
                </c:pt>
                <c:pt idx="37">
                  <c:v>125</c:v>
                </c:pt>
                <c:pt idx="38">
                  <c:v>125</c:v>
                </c:pt>
                <c:pt idx="39">
                  <c:v>125</c:v>
                </c:pt>
                <c:pt idx="40">
                  <c:v>125</c:v>
                </c:pt>
                <c:pt idx="41">
                  <c:v>125</c:v>
                </c:pt>
                <c:pt idx="42">
                  <c:v>125</c:v>
                </c:pt>
                <c:pt idx="43">
                  <c:v>125</c:v>
                </c:pt>
                <c:pt idx="44">
                  <c:v>125</c:v>
                </c:pt>
                <c:pt idx="45">
                  <c:v>125</c:v>
                </c:pt>
                <c:pt idx="46">
                  <c:v>125</c:v>
                </c:pt>
                <c:pt idx="47">
                  <c:v>125</c:v>
                </c:pt>
                <c:pt idx="48">
                  <c:v>125</c:v>
                </c:pt>
                <c:pt idx="49">
                  <c:v>125</c:v>
                </c:pt>
                <c:pt idx="50">
                  <c:v>125</c:v>
                </c:pt>
                <c:pt idx="51">
                  <c:v>125</c:v>
                </c:pt>
                <c:pt idx="52">
                  <c:v>125</c:v>
                </c:pt>
                <c:pt idx="53">
                  <c:v>125</c:v>
                </c:pt>
                <c:pt idx="54">
                  <c:v>125</c:v>
                </c:pt>
                <c:pt idx="55">
                  <c:v>125</c:v>
                </c:pt>
                <c:pt idx="56">
                  <c:v>125</c:v>
                </c:pt>
                <c:pt idx="57">
                  <c:v>125</c:v>
                </c:pt>
                <c:pt idx="58">
                  <c:v>125</c:v>
                </c:pt>
                <c:pt idx="59">
                  <c:v>125</c:v>
                </c:pt>
                <c:pt idx="60">
                  <c:v>125</c:v>
                </c:pt>
                <c:pt idx="61">
                  <c:v>125</c:v>
                </c:pt>
                <c:pt idx="62">
                  <c:v>125</c:v>
                </c:pt>
                <c:pt idx="63">
                  <c:v>125</c:v>
                </c:pt>
                <c:pt idx="64">
                  <c:v>125</c:v>
                </c:pt>
                <c:pt idx="65">
                  <c:v>125</c:v>
                </c:pt>
                <c:pt idx="66">
                  <c:v>125</c:v>
                </c:pt>
                <c:pt idx="67">
                  <c:v>125</c:v>
                </c:pt>
                <c:pt idx="68">
                  <c:v>125</c:v>
                </c:pt>
                <c:pt idx="69">
                  <c:v>125</c:v>
                </c:pt>
                <c:pt idx="70">
                  <c:v>125</c:v>
                </c:pt>
                <c:pt idx="71">
                  <c:v>125</c:v>
                </c:pt>
                <c:pt idx="72">
                  <c:v>125</c:v>
                </c:pt>
                <c:pt idx="73">
                  <c:v>125</c:v>
                </c:pt>
                <c:pt idx="74">
                  <c:v>125</c:v>
                </c:pt>
                <c:pt idx="75">
                  <c:v>125</c:v>
                </c:pt>
                <c:pt idx="76">
                  <c:v>125</c:v>
                </c:pt>
                <c:pt idx="77">
                  <c:v>125</c:v>
                </c:pt>
                <c:pt idx="78">
                  <c:v>125</c:v>
                </c:pt>
                <c:pt idx="79">
                  <c:v>125</c:v>
                </c:pt>
                <c:pt idx="80">
                  <c:v>125</c:v>
                </c:pt>
                <c:pt idx="81">
                  <c:v>125</c:v>
                </c:pt>
                <c:pt idx="82">
                  <c:v>125</c:v>
                </c:pt>
                <c:pt idx="83">
                  <c:v>125</c:v>
                </c:pt>
                <c:pt idx="84">
                  <c:v>125</c:v>
                </c:pt>
                <c:pt idx="85">
                  <c:v>125</c:v>
                </c:pt>
                <c:pt idx="86">
                  <c:v>125</c:v>
                </c:pt>
                <c:pt idx="87">
                  <c:v>125</c:v>
                </c:pt>
                <c:pt idx="88">
                  <c:v>125</c:v>
                </c:pt>
                <c:pt idx="89">
                  <c:v>125</c:v>
                </c:pt>
                <c:pt idx="90">
                  <c:v>125</c:v>
                </c:pt>
                <c:pt idx="91">
                  <c:v>125</c:v>
                </c:pt>
                <c:pt idx="92">
                  <c:v>125</c:v>
                </c:pt>
                <c:pt idx="93">
                  <c:v>125</c:v>
                </c:pt>
                <c:pt idx="94">
                  <c:v>125</c:v>
                </c:pt>
                <c:pt idx="95">
                  <c:v>125</c:v>
                </c:pt>
                <c:pt idx="96">
                  <c:v>125</c:v>
                </c:pt>
                <c:pt idx="97">
                  <c:v>125</c:v>
                </c:pt>
                <c:pt idx="98">
                  <c:v>125</c:v>
                </c:pt>
                <c:pt idx="99">
                  <c:v>125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'3 Perpetuities'!I31</c:f>
              <c:strCache>
                <c:ptCount val="1"/>
                <c:pt idx="0">
                  <c:v>Target CF/(R−g)</c:v>
                </c:pt>
              </c:strCache>
            </c:strRef>
          </c:tx>
          <c:spPr>
            <a:solidFill>
              <a:srgbClr val="9467bd"/>
            </a:solidFill>
            <a:ln w="25560">
              <a:solidFill>
                <a:srgbClr val="9467b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 Perpetuities'!$A$32:$A$131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'3 Perpetuities'!$I$32:$I$131</c:f>
              <c:numCache>
                <c:formatCode>#,##0.00</c:formatCode>
                <c:ptCount val="100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5290367"/>
        <c:axId val="18200317"/>
      </c:lineChart>
      <c:catAx>
        <c:axId val="952903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cash flows included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200317"/>
        <c:crosses val="autoZero"/>
        <c:auto val="1"/>
        <c:lblAlgn val="ctr"/>
        <c:lblOffset val="100"/>
        <c:noMultiLvlLbl val="0"/>
      </c:catAx>
      <c:valAx>
        <c:axId val="182003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Present 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2903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Debt balance vs. savings, month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'5 Credit Card Schedule'!E16</c:f>
              <c:strCache>
                <c:ptCount val="1"/>
                <c:pt idx="0">
                  <c:v>Closing balance  (level)</c:v>
                </c:pt>
              </c:strCache>
            </c:strRef>
          </c:tx>
          <c:spPr>
            <a:solidFill>
              <a:srgbClr val="1f77b4"/>
            </a:solidFill>
            <a:ln w="2556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 Credit Card Schedule'!$A$17:$A$136</c:f>
              <c:strCache>
                <c:ptCount val="1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</c:strCache>
            </c:strRef>
          </c:cat>
          <c:val>
            <c:numRef>
              <c:f>'5 Credit Card Schedule'!$E$17:$E$136</c:f>
              <c:numCache>
                <c:formatCode>#,##0.00</c:formatCode>
                <c:ptCount val="120"/>
                <c:pt idx="0">
                  <c:v>15770.0000062694</c:v>
                </c:pt>
                <c:pt idx="1">
                  <c:v>15536.5500126328</c:v>
                </c:pt>
                <c:pt idx="2">
                  <c:v>15299.5982690917</c:v>
                </c:pt>
                <c:pt idx="3">
                  <c:v>15059.0922493975</c:v>
                </c:pt>
                <c:pt idx="4">
                  <c:v>14814.9786394079</c:v>
                </c:pt>
                <c:pt idx="5">
                  <c:v>14567.2033252684</c:v>
                </c:pt>
                <c:pt idx="6">
                  <c:v>14315.7113814168</c:v>
                </c:pt>
                <c:pt idx="7">
                  <c:v>14060.4470584075</c:v>
                </c:pt>
                <c:pt idx="8">
                  <c:v>13801.353770553</c:v>
                </c:pt>
                <c:pt idx="9">
                  <c:v>13538.3740833807</c:v>
                </c:pt>
                <c:pt idx="10">
                  <c:v>13271.4497009008</c:v>
                </c:pt>
                <c:pt idx="11">
                  <c:v>13000.5214526837</c:v>
                </c:pt>
                <c:pt idx="12">
                  <c:v>12725.5292807434</c:v>
                </c:pt>
                <c:pt idx="13">
                  <c:v>12446.412226224</c:v>
                </c:pt>
                <c:pt idx="14">
                  <c:v>12163.1084158867</c:v>
                </c:pt>
                <c:pt idx="15">
                  <c:v>11875.5550483944</c:v>
                </c:pt>
                <c:pt idx="16">
                  <c:v>11583.6883803897</c:v>
                </c:pt>
                <c:pt idx="17">
                  <c:v>11287.443712365</c:v>
                </c:pt>
                <c:pt idx="18">
                  <c:v>10986.7553743199</c:v>
                </c:pt>
                <c:pt idx="19">
                  <c:v>10681.5567112041</c:v>
                </c:pt>
                <c:pt idx="20">
                  <c:v>10371.7800681415</c:v>
                </c:pt>
                <c:pt idx="21">
                  <c:v>10057.3567754331</c:v>
                </c:pt>
                <c:pt idx="22">
                  <c:v>9738.21713333397</c:v>
                </c:pt>
                <c:pt idx="23">
                  <c:v>9414.29039660338</c:v>
                </c:pt>
                <c:pt idx="24">
                  <c:v>9085.50475882183</c:v>
                </c:pt>
                <c:pt idx="25">
                  <c:v>8751.78733647356</c:v>
                </c:pt>
                <c:pt idx="26">
                  <c:v>8413.06415279007</c:v>
                </c:pt>
                <c:pt idx="27">
                  <c:v>8069.26012135132</c:v>
                </c:pt>
                <c:pt idx="28">
                  <c:v>7720.299029441</c:v>
                </c:pt>
                <c:pt idx="29">
                  <c:v>7366.10352115201</c:v>
                </c:pt>
                <c:pt idx="30">
                  <c:v>7006.5950802387</c:v>
                </c:pt>
                <c:pt idx="31">
                  <c:v>6641.69401271168</c:v>
                </c:pt>
                <c:pt idx="32">
                  <c:v>6271.31942917176</c:v>
                </c:pt>
                <c:pt idx="33">
                  <c:v>5895.38922687874</c:v>
                </c:pt>
                <c:pt idx="34">
                  <c:v>5513.82007155132</c:v>
                </c:pt>
                <c:pt idx="35">
                  <c:v>5126.52737889399</c:v>
                </c:pt>
                <c:pt idx="36">
                  <c:v>4733.4252958468</c:v>
                </c:pt>
                <c:pt idx="37">
                  <c:v>4334.42668155391</c:v>
                </c:pt>
                <c:pt idx="38">
                  <c:v>3929.44308804662</c:v>
                </c:pt>
                <c:pt idx="39">
                  <c:v>3518.38474063672</c:v>
                </c:pt>
                <c:pt idx="40">
                  <c:v>3101.16051801567</c:v>
                </c:pt>
                <c:pt idx="41">
                  <c:v>2677.67793205531</c:v>
                </c:pt>
                <c:pt idx="42">
                  <c:v>2247.84310730554</c:v>
                </c:pt>
                <c:pt idx="43">
                  <c:v>1811.56076018453</c:v>
                </c:pt>
                <c:pt idx="44">
                  <c:v>1368.7341778567</c:v>
                </c:pt>
                <c:pt idx="45">
                  <c:v>919.265196793953</c:v>
                </c:pt>
                <c:pt idx="46">
                  <c:v>463.054181015265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'5 Credit Card Schedule'!H16</c:f>
              <c:strCache>
                <c:ptCount val="1"/>
                <c:pt idx="0">
                  <c:v>Closing balance  (growing)</c:v>
                </c:pt>
              </c:strCache>
            </c:strRef>
          </c:tx>
          <c:spPr>
            <a:solidFill>
              <a:srgbClr val="d62728"/>
            </a:solidFill>
            <a:ln w="25560">
              <a:solidFill>
                <a:srgbClr val="d6272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 Credit Card Schedule'!$A$17:$A$136</c:f>
              <c:strCache>
                <c:ptCount val="1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</c:strCache>
            </c:strRef>
          </c:cat>
          <c:val>
            <c:numRef>
              <c:f>'5 Credit Card Schedule'!$H$17:$H$136</c:f>
              <c:numCache>
                <c:formatCode>#,##0.00</c:formatCode>
                <c:ptCount val="120"/>
                <c:pt idx="0">
                  <c:v>15817.0231244468</c:v>
                </c:pt>
                <c:pt idx="1">
                  <c:v>15629.1867113825</c:v>
                </c:pt>
                <c:pt idx="2">
                  <c:v>15436.4072933226</c:v>
                </c:pt>
                <c:pt idx="3">
                  <c:v>15238.6000978982</c:v>
                </c:pt>
                <c:pt idx="4">
                  <c:v>15035.6790280183</c:v>
                </c:pt>
                <c:pt idx="5">
                  <c:v>14827.5566417334</c:v>
                </c:pt>
                <c:pt idx="6">
                  <c:v>14614.1441317957</c:v>
                </c:pt>
                <c:pt idx="7">
                  <c:v>14395.3513049112</c:v>
                </c:pt>
                <c:pt idx="8">
                  <c:v>14171.086560679</c:v>
                </c:pt>
                <c:pt idx="9">
                  <c:v>13941.2568702144</c:v>
                </c:pt>
                <c:pt idx="10">
                  <c:v>13705.7677544484</c:v>
                </c:pt>
                <c:pt idx="11">
                  <c:v>13464.5232621018</c:v>
                </c:pt>
                <c:pt idx="12">
                  <c:v>13217.4259473267</c:v>
                </c:pt>
                <c:pt idx="13">
                  <c:v>12964.3768470115</c:v>
                </c:pt>
                <c:pt idx="14">
                  <c:v>12705.2754577439</c:v>
                </c:pt>
                <c:pt idx="15">
                  <c:v>12440.0197124274</c:v>
                </c:pt>
                <c:pt idx="16">
                  <c:v>12168.5059565453</c:v>
                </c:pt>
                <c:pt idx="17">
                  <c:v>11890.6289240671</c:v>
                </c:pt>
                <c:pt idx="18">
                  <c:v>11606.2817129926</c:v>
                </c:pt>
                <c:pt idx="19">
                  <c:v>11315.3557605272</c:v>
                </c:pt>
                <c:pt idx="20">
                  <c:v>11017.7408178842</c:v>
                </c:pt>
                <c:pt idx="21">
                  <c:v>10713.3249247062</c:v>
                </c:pt>
                <c:pt idx="22">
                  <c:v>10401.9943831033</c:v>
                </c:pt>
                <c:pt idx="23">
                  <c:v>10083.633731299</c:v>
                </c:pt>
                <c:pt idx="24">
                  <c:v>9758.12571687984</c:v>
                </c:pt>
                <c:pt idx="25">
                  <c:v>9425.35126964248</c:v>
                </c:pt>
                <c:pt idx="26">
                  <c:v>9085.18947403162</c:v>
                </c:pt>
                <c:pt idx="27">
                  <c:v>8737.51754116331</c:v>
                </c:pt>
                <c:pt idx="28">
                  <c:v>8382.21078042708</c:v>
                </c:pt>
                <c:pt idx="29">
                  <c:v>8019.14257066054</c:v>
                </c:pt>
                <c:pt idx="30">
                  <c:v>7648.18433089014</c:v>
                </c:pt>
                <c:pt idx="31">
                  <c:v>7269.20549063153</c:v>
                </c:pt>
                <c:pt idx="32">
                  <c:v>6882.07345974294</c:v>
                </c:pt>
                <c:pt idx="33">
                  <c:v>6486.65359782477</c:v>
                </c:pt>
                <c:pt idx="34">
                  <c:v>6082.80918315876</c:v>
                </c:pt>
                <c:pt idx="35">
                  <c:v>5670.40138117959</c:v>
                </c:pt>
                <c:pt idx="36">
                  <c:v>5249.28921247211</c:v>
                </c:pt>
                <c:pt idx="37">
                  <c:v>4819.32952028688</c:v>
                </c:pt>
                <c:pt idx="38">
                  <c:v>4380.37693756702</c:v>
                </c:pt>
                <c:pt idx="39">
                  <c:v>3932.28385347873</c:v>
                </c:pt>
                <c:pt idx="40">
                  <c:v>3474.90037943836</c:v>
                </c:pt>
                <c:pt idx="41">
                  <c:v>3008.07431462818</c:v>
                </c:pt>
                <c:pt idx="42">
                  <c:v>2531.65111099333</c:v>
                </c:pt>
                <c:pt idx="43">
                  <c:v>2045.47383771219</c:v>
                </c:pt>
                <c:pt idx="44">
                  <c:v>1549.3831451321</c:v>
                </c:pt>
                <c:pt idx="45">
                  <c:v>1043.21722816259</c:v>
                </c:pt>
                <c:pt idx="46">
                  <c:v>526.811789117793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'5 Credit Card Schedule'!I16</c:f>
              <c:strCache>
                <c:ptCount val="1"/>
                <c:pt idx="0">
                  <c:v>Savings if the level payment were saved at R</c:v>
                </c:pt>
              </c:strCache>
            </c:strRef>
          </c:tx>
          <c:spPr>
            <a:solidFill>
              <a:srgbClr val="2ca02c"/>
            </a:solidFill>
            <a:ln w="25560">
              <a:solidFill>
                <a:srgbClr val="2ca0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 Credit Card Schedule'!$A$17:$A$136</c:f>
              <c:strCache>
                <c:ptCount val="1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</c:strCache>
            </c:strRef>
          </c:cat>
          <c:val>
            <c:numRef>
              <c:f>'5 Credit Card Schedule'!$I$17:$I$136</c:f>
              <c:numCache>
                <c:formatCode>#,##0.00;\-#,##0.00;""</c:formatCode>
                <c:ptCount val="120"/>
                <c:pt idx="0">
                  <c:v>469.999993730597</c:v>
                </c:pt>
                <c:pt idx="1">
                  <c:v>947.049987367154</c:v>
                </c:pt>
                <c:pt idx="2">
                  <c:v>1431.25573090826</c:v>
                </c:pt>
                <c:pt idx="3">
                  <c:v>1922.72456060248</c:v>
                </c:pt>
                <c:pt idx="4">
                  <c:v>2421.56542274211</c:v>
                </c:pt>
                <c:pt idx="5">
                  <c:v>2927.88889781384</c:v>
                </c:pt>
                <c:pt idx="6">
                  <c:v>3441.80722501165</c:v>
                </c:pt>
                <c:pt idx="7">
                  <c:v>3963.43432711742</c:v>
                </c:pt>
                <c:pt idx="8">
                  <c:v>4492.88583575478</c:v>
                </c:pt>
                <c:pt idx="9">
                  <c:v>5030.2791170217</c:v>
                </c:pt>
                <c:pt idx="10">
                  <c:v>5575.73329750762</c:v>
                </c:pt>
                <c:pt idx="11">
                  <c:v>6129.36929070083</c:v>
                </c:pt>
                <c:pt idx="12">
                  <c:v>6691.30982379194</c:v>
                </c:pt>
                <c:pt idx="13">
                  <c:v>7261.67946487942</c:v>
                </c:pt>
                <c:pt idx="14">
                  <c:v>7840.60465058321</c:v>
                </c:pt>
                <c:pt idx="15">
                  <c:v>8428.21371407255</c:v>
                </c:pt>
                <c:pt idx="16">
                  <c:v>9024.63691351423</c:v>
                </c:pt>
                <c:pt idx="17">
                  <c:v>9630.00646094754</c:v>
                </c:pt>
                <c:pt idx="18">
                  <c:v>10244.4565515924</c:v>
                </c:pt>
                <c:pt idx="19">
                  <c:v>10868.1233935968</c:v>
                </c:pt>
                <c:pt idx="20">
                  <c:v>11501.1452382314</c:v>
                </c:pt>
                <c:pt idx="21">
                  <c:v>12143.6624105354</c:v>
                </c:pt>
                <c:pt idx="22">
                  <c:v>12795.8173404241</c:v>
                </c:pt>
                <c:pt idx="23">
                  <c:v>13457.754594261</c:v>
                </c:pt>
                <c:pt idx="24">
                  <c:v>14129.6209069055</c:v>
                </c:pt>
                <c:pt idx="25">
                  <c:v>14811.5652142397</c:v>
                </c:pt>
                <c:pt idx="26">
                  <c:v>15503.7386861839</c:v>
                </c:pt>
                <c:pt idx="27">
                  <c:v>16206.2947602073</c:v>
                </c:pt>
                <c:pt idx="28">
                  <c:v>16919.389175341</c:v>
                </c:pt>
                <c:pt idx="29">
                  <c:v>17643.1800067017</c:v>
                </c:pt>
                <c:pt idx="30">
                  <c:v>18377.8277005328</c:v>
                </c:pt>
                <c:pt idx="31">
                  <c:v>19123.4951097714</c:v>
                </c:pt>
                <c:pt idx="32">
                  <c:v>19880.3475301486</c:v>
                </c:pt>
                <c:pt idx="33">
                  <c:v>20648.5527368314</c:v>
                </c:pt>
                <c:pt idx="34">
                  <c:v>21428.2810216144</c:v>
                </c:pt>
                <c:pt idx="35">
                  <c:v>22219.7052306693</c:v>
                </c:pt>
                <c:pt idx="36">
                  <c:v>23023.0008028599</c:v>
                </c:pt>
                <c:pt idx="37">
                  <c:v>23838.3458086334</c:v>
                </c:pt>
                <c:pt idx="38">
                  <c:v>24665.9209894935</c:v>
                </c:pt>
                <c:pt idx="39">
                  <c:v>25505.9097980665</c:v>
                </c:pt>
                <c:pt idx="40">
                  <c:v>26358.4984387681</c:v>
                </c:pt>
                <c:pt idx="41">
                  <c:v>27223.8759090802</c:v>
                </c:pt>
                <c:pt idx="42">
                  <c:v>28102.234041447</c:v>
                </c:pt>
                <c:pt idx="43">
                  <c:v>28993.7675457993</c:v>
                </c:pt>
                <c:pt idx="44">
                  <c:v>29898.6740527169</c:v>
                </c:pt>
                <c:pt idx="45">
                  <c:v>30817.1541572382</c:v>
                </c:pt>
                <c:pt idx="46">
                  <c:v>31749.4114633274</c:v>
                </c:pt>
                <c:pt idx="47">
                  <c:v>32695.6526290079</c:v>
                </c:pt>
                <c:pt idx="48">
                  <c:v>32695.6526290079</c:v>
                </c:pt>
                <c:pt idx="49">
                  <c:v>32695.6526290079</c:v>
                </c:pt>
                <c:pt idx="50">
                  <c:v>32695.6526290079</c:v>
                </c:pt>
                <c:pt idx="51">
                  <c:v>32695.6526290079</c:v>
                </c:pt>
                <c:pt idx="52">
                  <c:v>32695.6526290079</c:v>
                </c:pt>
                <c:pt idx="53">
                  <c:v>32695.6526290079</c:v>
                </c:pt>
                <c:pt idx="54">
                  <c:v>32695.6526290079</c:v>
                </c:pt>
                <c:pt idx="55">
                  <c:v>32695.6526290079</c:v>
                </c:pt>
                <c:pt idx="56">
                  <c:v>32695.6526290079</c:v>
                </c:pt>
                <c:pt idx="57">
                  <c:v>32695.6526290079</c:v>
                </c:pt>
                <c:pt idx="58">
                  <c:v>32695.6526290079</c:v>
                </c:pt>
                <c:pt idx="59">
                  <c:v>32695.6526290079</c:v>
                </c:pt>
                <c:pt idx="60">
                  <c:v>32695.6526290079</c:v>
                </c:pt>
                <c:pt idx="61">
                  <c:v>32695.6526290079</c:v>
                </c:pt>
                <c:pt idx="62">
                  <c:v>32695.6526290079</c:v>
                </c:pt>
                <c:pt idx="63">
                  <c:v>32695.6526290079</c:v>
                </c:pt>
                <c:pt idx="64">
                  <c:v>32695.6526290079</c:v>
                </c:pt>
                <c:pt idx="65">
                  <c:v>32695.6526290079</c:v>
                </c:pt>
                <c:pt idx="66">
                  <c:v>32695.6526290079</c:v>
                </c:pt>
                <c:pt idx="67">
                  <c:v>32695.6526290079</c:v>
                </c:pt>
                <c:pt idx="68">
                  <c:v>32695.6526290079</c:v>
                </c:pt>
                <c:pt idx="69">
                  <c:v>32695.6526290079</c:v>
                </c:pt>
                <c:pt idx="70">
                  <c:v>32695.6526290079</c:v>
                </c:pt>
                <c:pt idx="71">
                  <c:v>32695.6526290079</c:v>
                </c:pt>
                <c:pt idx="72">
                  <c:v>32695.6526290079</c:v>
                </c:pt>
                <c:pt idx="73">
                  <c:v>32695.6526290079</c:v>
                </c:pt>
                <c:pt idx="74">
                  <c:v>32695.6526290079</c:v>
                </c:pt>
                <c:pt idx="75">
                  <c:v>32695.6526290079</c:v>
                </c:pt>
                <c:pt idx="76">
                  <c:v>32695.6526290079</c:v>
                </c:pt>
                <c:pt idx="77">
                  <c:v>32695.6526290079</c:v>
                </c:pt>
                <c:pt idx="78">
                  <c:v>32695.6526290079</c:v>
                </c:pt>
                <c:pt idx="79">
                  <c:v>32695.6526290079</c:v>
                </c:pt>
                <c:pt idx="80">
                  <c:v>32695.6526290079</c:v>
                </c:pt>
                <c:pt idx="81">
                  <c:v>32695.6526290079</c:v>
                </c:pt>
                <c:pt idx="82">
                  <c:v>32695.6526290079</c:v>
                </c:pt>
                <c:pt idx="83">
                  <c:v>32695.6526290079</c:v>
                </c:pt>
                <c:pt idx="84">
                  <c:v>32695.6526290079</c:v>
                </c:pt>
                <c:pt idx="85">
                  <c:v>32695.6526290079</c:v>
                </c:pt>
                <c:pt idx="86">
                  <c:v>32695.6526290079</c:v>
                </c:pt>
                <c:pt idx="87">
                  <c:v>32695.6526290079</c:v>
                </c:pt>
                <c:pt idx="88">
                  <c:v>32695.6526290079</c:v>
                </c:pt>
                <c:pt idx="89">
                  <c:v>32695.6526290079</c:v>
                </c:pt>
                <c:pt idx="90">
                  <c:v>32695.6526290079</c:v>
                </c:pt>
                <c:pt idx="91">
                  <c:v>32695.6526290079</c:v>
                </c:pt>
                <c:pt idx="92">
                  <c:v>32695.6526290079</c:v>
                </c:pt>
                <c:pt idx="93">
                  <c:v>32695.6526290079</c:v>
                </c:pt>
                <c:pt idx="94">
                  <c:v>32695.6526290079</c:v>
                </c:pt>
                <c:pt idx="95">
                  <c:v>32695.6526290079</c:v>
                </c:pt>
                <c:pt idx="96">
                  <c:v>32695.6526290079</c:v>
                </c:pt>
                <c:pt idx="97">
                  <c:v>32695.6526290079</c:v>
                </c:pt>
                <c:pt idx="98">
                  <c:v>32695.6526290079</c:v>
                </c:pt>
                <c:pt idx="99">
                  <c:v>32695.6526290079</c:v>
                </c:pt>
                <c:pt idx="100">
                  <c:v>32695.6526290079</c:v>
                </c:pt>
                <c:pt idx="101">
                  <c:v>32695.6526290079</c:v>
                </c:pt>
                <c:pt idx="102">
                  <c:v>32695.6526290079</c:v>
                </c:pt>
                <c:pt idx="103">
                  <c:v>32695.6526290079</c:v>
                </c:pt>
                <c:pt idx="104">
                  <c:v>32695.6526290079</c:v>
                </c:pt>
                <c:pt idx="105">
                  <c:v>32695.6526290079</c:v>
                </c:pt>
                <c:pt idx="106">
                  <c:v>32695.6526290079</c:v>
                </c:pt>
                <c:pt idx="107">
                  <c:v>32695.6526290079</c:v>
                </c:pt>
                <c:pt idx="108">
                  <c:v>32695.6526290079</c:v>
                </c:pt>
                <c:pt idx="109">
                  <c:v>32695.6526290079</c:v>
                </c:pt>
                <c:pt idx="110">
                  <c:v>32695.6526290079</c:v>
                </c:pt>
                <c:pt idx="111">
                  <c:v>32695.6526290079</c:v>
                </c:pt>
                <c:pt idx="112">
                  <c:v>32695.6526290079</c:v>
                </c:pt>
                <c:pt idx="113">
                  <c:v>32695.6526290079</c:v>
                </c:pt>
                <c:pt idx="114">
                  <c:v>32695.6526290079</c:v>
                </c:pt>
                <c:pt idx="115">
                  <c:v>32695.6526290079</c:v>
                </c:pt>
                <c:pt idx="116">
                  <c:v>32695.6526290079</c:v>
                </c:pt>
                <c:pt idx="117">
                  <c:v>32695.6526290079</c:v>
                </c:pt>
                <c:pt idx="118">
                  <c:v>32695.6526290079</c:v>
                </c:pt>
                <c:pt idx="119">
                  <c:v>32695.6526290079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2009787"/>
        <c:axId val="78651433"/>
      </c:lineChart>
      <c:catAx>
        <c:axId val="5200978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651433"/>
        <c:crosses val="autoZero"/>
        <c:auto val="1"/>
        <c:lblAlgn val="ctr"/>
        <c:lblOffset val="100"/>
        <c:noMultiLvlLbl val="0"/>
      </c:catAx>
      <c:valAx>
        <c:axId val="786514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Balance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0097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Future value of $100 with a 10% quoted rate (slide 32)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'6 Compounding &amp; EAR'!B41</c:f>
              <c:strCache>
                <c:ptCount val="1"/>
                <c:pt idx="0">
                  <c:v>Annual (m = 1)</c:v>
                </c:pt>
              </c:strCache>
            </c:strRef>
          </c:tx>
          <c:spPr>
            <a:solidFill>
              <a:srgbClr val="1f77b4"/>
            </a:solidFill>
            <a:ln w="2556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 Compounding &amp; EAR'!$A$42:$A$62</c:f>
              <c:strCach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'6 Compounding &amp; EAR'!$B$42:$B$62</c:f>
              <c:numCache>
                <c:formatCode>#,##0.00</c:formatCode>
                <c:ptCount val="21"/>
                <c:pt idx="0">
                  <c:v>100</c:v>
                </c:pt>
                <c:pt idx="1">
                  <c:v>110</c:v>
                </c:pt>
                <c:pt idx="2">
                  <c:v>121</c:v>
                </c:pt>
                <c:pt idx="3">
                  <c:v>133.1</c:v>
                </c:pt>
                <c:pt idx="4">
                  <c:v>146.41</c:v>
                </c:pt>
                <c:pt idx="5">
                  <c:v>161.051</c:v>
                </c:pt>
                <c:pt idx="6">
                  <c:v>177.1561</c:v>
                </c:pt>
                <c:pt idx="7">
                  <c:v>194.87171</c:v>
                </c:pt>
                <c:pt idx="8">
                  <c:v>214.358881</c:v>
                </c:pt>
                <c:pt idx="9">
                  <c:v>235.7947691</c:v>
                </c:pt>
                <c:pt idx="10">
                  <c:v>259.37424601</c:v>
                </c:pt>
                <c:pt idx="11">
                  <c:v>285.311670611</c:v>
                </c:pt>
                <c:pt idx="12">
                  <c:v>313.8428376721</c:v>
                </c:pt>
                <c:pt idx="13">
                  <c:v>345.22712143931</c:v>
                </c:pt>
                <c:pt idx="14">
                  <c:v>379.749833583241</c:v>
                </c:pt>
                <c:pt idx="15">
                  <c:v>417.724816941566</c:v>
                </c:pt>
                <c:pt idx="16">
                  <c:v>459.497298635722</c:v>
                </c:pt>
                <c:pt idx="17">
                  <c:v>505.447028499295</c:v>
                </c:pt>
                <c:pt idx="18">
                  <c:v>555.991731349224</c:v>
                </c:pt>
                <c:pt idx="19">
                  <c:v>611.590904484146</c:v>
                </c:pt>
                <c:pt idx="20">
                  <c:v>672.749994932561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'6 Compounding &amp; EAR'!C41</c:f>
              <c:strCache>
                <c:ptCount val="1"/>
                <c:pt idx="0">
                  <c:v>Semi-annual (m = 2)</c:v>
                </c:pt>
              </c:strCache>
            </c:strRef>
          </c:tx>
          <c:spPr>
            <a:solidFill>
              <a:srgbClr val="d62728"/>
            </a:solidFill>
            <a:ln w="25560">
              <a:solidFill>
                <a:srgbClr val="d6272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 Compounding &amp; EAR'!$A$42:$A$62</c:f>
              <c:strCach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'6 Compounding &amp; EAR'!$C$42:$C$62</c:f>
              <c:numCache>
                <c:formatCode>#,##0.00</c:formatCode>
                <c:ptCount val="21"/>
                <c:pt idx="0">
                  <c:v>100</c:v>
                </c:pt>
                <c:pt idx="1">
                  <c:v>110.25</c:v>
                </c:pt>
                <c:pt idx="2">
                  <c:v>121.550625</c:v>
                </c:pt>
                <c:pt idx="3">
                  <c:v>134.0095640625</c:v>
                </c:pt>
                <c:pt idx="4">
                  <c:v>147.745544378906</c:v>
                </c:pt>
                <c:pt idx="5">
                  <c:v>162.889462677744</c:v>
                </c:pt>
                <c:pt idx="6">
                  <c:v>179.585632602213</c:v>
                </c:pt>
                <c:pt idx="7">
                  <c:v>197.99315994394</c:v>
                </c:pt>
                <c:pt idx="8">
                  <c:v>218.287458838194</c:v>
                </c:pt>
                <c:pt idx="9">
                  <c:v>240.661923369109</c:v>
                </c:pt>
                <c:pt idx="10">
                  <c:v>265.329770514442</c:v>
                </c:pt>
                <c:pt idx="11">
                  <c:v>292.526071992173</c:v>
                </c:pt>
                <c:pt idx="12">
                  <c:v>322.50999437137</c:v>
                </c:pt>
                <c:pt idx="13">
                  <c:v>355.567268794436</c:v>
                </c:pt>
                <c:pt idx="14">
                  <c:v>392.012913845866</c:v>
                </c:pt>
                <c:pt idx="15">
                  <c:v>432.194237515067</c:v>
                </c:pt>
                <c:pt idx="16">
                  <c:v>476.494146860361</c:v>
                </c:pt>
                <c:pt idx="17">
                  <c:v>525.334796913548</c:v>
                </c:pt>
                <c:pt idx="18">
                  <c:v>579.181613597187</c:v>
                </c:pt>
                <c:pt idx="19">
                  <c:v>638.547728990899</c:v>
                </c:pt>
                <c:pt idx="20">
                  <c:v>703.998871212466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'6 Compounding &amp; EAR'!D41</c:f>
              <c:strCache>
                <c:ptCount val="1"/>
                <c:pt idx="0">
                  <c:v>Monthly (m = 12)</c:v>
                </c:pt>
              </c:strCache>
            </c:strRef>
          </c:tx>
          <c:spPr>
            <a:solidFill>
              <a:srgbClr val="2ca02c"/>
            </a:solidFill>
            <a:ln w="25560">
              <a:solidFill>
                <a:srgbClr val="2ca0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 Compounding &amp; EAR'!$A$42:$A$62</c:f>
              <c:strCach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'6 Compounding &amp; EAR'!$D$42:$D$62</c:f>
              <c:numCache>
                <c:formatCode>#,##0.00</c:formatCode>
                <c:ptCount val="21"/>
                <c:pt idx="0">
                  <c:v>100</c:v>
                </c:pt>
                <c:pt idx="1">
                  <c:v>110.47130674413</c:v>
                </c:pt>
                <c:pt idx="2">
                  <c:v>122.039096137556</c:v>
                </c:pt>
                <c:pt idx="3">
                  <c:v>134.818184241883</c:v>
                </c:pt>
                <c:pt idx="4">
                  <c:v>148.935409860716</c:v>
                </c:pt>
                <c:pt idx="5">
                  <c:v>164.530893477859</c:v>
                </c:pt>
                <c:pt idx="6">
                  <c:v>181.759428022782</c:v>
                </c:pt>
                <c:pt idx="7">
                  <c:v>200.792015267424</c:v>
                </c:pt>
                <c:pt idx="8">
                  <c:v>221.817563103795</c:v>
                </c:pt>
                <c:pt idx="9">
                  <c:v>245.044760548747</c:v>
                </c:pt>
                <c:pt idx="10">
                  <c:v>270.704149086224</c:v>
                </c:pt>
                <c:pt idx="11">
                  <c:v>299.050410906129</c:v>
                </c:pt>
                <c:pt idx="12">
                  <c:v>330.36489675169</c:v>
                </c:pt>
                <c:pt idx="13">
                  <c:v>364.958418465487</c:v>
                </c:pt>
                <c:pt idx="14">
                  <c:v>403.174333951532</c:v>
                </c:pt>
                <c:pt idx="15">
                  <c:v>445.391955173199</c:v>
                </c:pt>
                <c:pt idx="16">
                  <c:v>492.030313013061</c:v>
                </c:pt>
                <c:pt idx="17">
                  <c:v>543.552316362761</c:v>
                </c:pt>
                <c:pt idx="18">
                  <c:v>600.469346723927</c:v>
                </c:pt>
                <c:pt idx="19">
                  <c:v>663.346333923862</c:v>
                </c:pt>
                <c:pt idx="20">
                  <c:v>732.807363324968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'6 Compounding &amp; EAR'!E41</c:f>
              <c:strCache>
                <c:ptCount val="1"/>
                <c:pt idx="0">
                  <c:v>Continuous</c:v>
                </c:pt>
              </c:strCache>
            </c:strRef>
          </c:tx>
          <c:spPr>
            <a:solidFill>
              <a:srgbClr val="9467bd"/>
            </a:solidFill>
            <a:ln w="25560">
              <a:solidFill>
                <a:srgbClr val="9467b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 Compounding &amp; EAR'!$A$42:$A$62</c:f>
              <c:strCach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'6 Compounding &amp; EAR'!$E$42:$E$62</c:f>
              <c:numCache>
                <c:formatCode>#,##0.00</c:formatCode>
                <c:ptCount val="21"/>
                <c:pt idx="0">
                  <c:v>100</c:v>
                </c:pt>
                <c:pt idx="1">
                  <c:v>110.517091807565</c:v>
                </c:pt>
                <c:pt idx="2">
                  <c:v>122.140275816017</c:v>
                </c:pt>
                <c:pt idx="3">
                  <c:v>134.9858807576</c:v>
                </c:pt>
                <c:pt idx="4">
                  <c:v>149.182469764127</c:v>
                </c:pt>
                <c:pt idx="5">
                  <c:v>164.872127070013</c:v>
                </c:pt>
                <c:pt idx="6">
                  <c:v>182.211880039051</c:v>
                </c:pt>
                <c:pt idx="7">
                  <c:v>201.375270747048</c:v>
                </c:pt>
                <c:pt idx="8">
                  <c:v>222.554092849247</c:v>
                </c:pt>
                <c:pt idx="9">
                  <c:v>245.960311115695</c:v>
                </c:pt>
                <c:pt idx="10">
                  <c:v>271.828182845905</c:v>
                </c:pt>
                <c:pt idx="11">
                  <c:v>300.416602394643</c:v>
                </c:pt>
                <c:pt idx="12">
                  <c:v>332.011692273655</c:v>
                </c:pt>
                <c:pt idx="13">
                  <c:v>366.929666761924</c:v>
                </c:pt>
                <c:pt idx="14">
                  <c:v>405.519996684468</c:v>
                </c:pt>
                <c:pt idx="15">
                  <c:v>448.168907033807</c:v>
                </c:pt>
                <c:pt idx="16">
                  <c:v>495.303242439512</c:v>
                </c:pt>
                <c:pt idx="17">
                  <c:v>547.39473917272</c:v>
                </c:pt>
                <c:pt idx="18">
                  <c:v>604.964746441295</c:v>
                </c:pt>
                <c:pt idx="19">
                  <c:v>668.589444227927</c:v>
                </c:pt>
                <c:pt idx="20">
                  <c:v>738.905609893065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5240186"/>
        <c:axId val="4014952"/>
      </c:lineChart>
      <c:catAx>
        <c:axId val="1524018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years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14952"/>
        <c:crosses val="autoZero"/>
        <c:auto val="1"/>
        <c:lblAlgn val="ctr"/>
        <c:lblOffset val="100"/>
        <c:noMultiLvlLbl val="0"/>
      </c:catAx>
      <c:valAx>
        <c:axId val="40149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Future 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2401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54</xdr:row>
      <xdr:rowOff>106200</xdr:rowOff>
    </xdr:from>
    <xdr:to>
      <xdr:col>2</xdr:col>
      <xdr:colOff>1141200</xdr:colOff>
      <xdr:row>71</xdr:row>
      <xdr:rowOff>107280</xdr:rowOff>
    </xdr:to>
    <xdr:graphicFrame>
      <xdr:nvGraphicFramePr>
        <xdr:cNvPr id="0" name="Chart 1"/>
        <xdr:cNvGraphicFramePr/>
      </xdr:nvGraphicFramePr>
      <xdr:xfrm>
        <a:off x="0" y="1123956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54</xdr:row>
      <xdr:rowOff>106200</xdr:rowOff>
    </xdr:from>
    <xdr:to>
      <xdr:col>10</xdr:col>
      <xdr:colOff>607680</xdr:colOff>
      <xdr:row>71</xdr:row>
      <xdr:rowOff>107280</xdr:rowOff>
    </xdr:to>
    <xdr:graphicFrame>
      <xdr:nvGraphicFramePr>
        <xdr:cNvPr id="1" name="Chart 2"/>
        <xdr:cNvGraphicFramePr/>
      </xdr:nvGraphicFramePr>
      <xdr:xfrm>
        <a:off x="12801600" y="1123956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160920</xdr:rowOff>
    </xdr:from>
    <xdr:to>
      <xdr:col>11</xdr:col>
      <xdr:colOff>647280</xdr:colOff>
      <xdr:row>19</xdr:row>
      <xdr:rowOff>162000</xdr:rowOff>
    </xdr:to>
    <xdr:graphicFrame>
      <xdr:nvGraphicFramePr>
        <xdr:cNvPr id="2" name="Chart 1"/>
        <xdr:cNvGraphicFramePr/>
      </xdr:nvGraphicFramePr>
      <xdr:xfrm>
        <a:off x="13157280" y="571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160920</xdr:rowOff>
    </xdr:from>
    <xdr:to>
      <xdr:col>11</xdr:col>
      <xdr:colOff>306720</xdr:colOff>
      <xdr:row>20</xdr:row>
      <xdr:rowOff>141120</xdr:rowOff>
    </xdr:to>
    <xdr:graphicFrame>
      <xdr:nvGraphicFramePr>
        <xdr:cNvPr id="3" name="Chart 1"/>
        <xdr:cNvGraphicFramePr/>
      </xdr:nvGraphicFramePr>
      <xdr:xfrm>
        <a:off x="12268080" y="57168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</xdr:row>
      <xdr:rowOff>160920</xdr:rowOff>
    </xdr:from>
    <xdr:to>
      <xdr:col>19</xdr:col>
      <xdr:colOff>370080</xdr:colOff>
      <xdr:row>21</xdr:row>
      <xdr:rowOff>28440</xdr:rowOff>
    </xdr:to>
    <xdr:graphicFrame>
      <xdr:nvGraphicFramePr>
        <xdr:cNvPr id="4" name="Chart 1"/>
        <xdr:cNvGraphicFramePr/>
      </xdr:nvGraphicFramePr>
      <xdr:xfrm>
        <a:off x="16227360" y="57168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11</xdr:row>
      <xdr:rowOff>223200</xdr:rowOff>
    </xdr:from>
    <xdr:to>
      <xdr:col>12</xdr:col>
      <xdr:colOff>608040</xdr:colOff>
      <xdr:row>29</xdr:row>
      <xdr:rowOff>26640</xdr:rowOff>
    </xdr:to>
    <xdr:graphicFrame>
      <xdr:nvGraphicFramePr>
        <xdr:cNvPr id="5" name="Chart 1"/>
        <xdr:cNvGraphicFramePr/>
      </xdr:nvGraphicFramePr>
      <xdr:xfrm>
        <a:off x="12268080" y="285768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2C8F"/>
    <pageSetUpPr fitToPage="false"/>
  </sheetPr>
  <dimension ref="A1:C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62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</row>
    <row r="5" customFormat="false" ht="23.85" hidden="false" customHeight="false" outlineLevel="0" collapsed="false">
      <c r="A5" s="5" t="s">
        <v>3</v>
      </c>
      <c r="B5" s="6" t="s">
        <v>4</v>
      </c>
    </row>
    <row r="6" customFormat="false" ht="15" hidden="false" customHeight="false" outlineLevel="0" collapsed="false">
      <c r="A6" s="7" t="s">
        <v>5</v>
      </c>
      <c r="B6" s="6" t="s">
        <v>6</v>
      </c>
    </row>
    <row r="7" customFormat="false" ht="15" hidden="false" customHeight="false" outlineLevel="0" collapsed="false">
      <c r="A7" s="8" t="s">
        <v>7</v>
      </c>
      <c r="B7" s="6" t="s">
        <v>8</v>
      </c>
    </row>
    <row r="8" customFormat="false" ht="15" hidden="false" customHeight="false" outlineLevel="0" collapsed="false">
      <c r="A8" s="9" t="s">
        <v>9</v>
      </c>
      <c r="B8" s="6" t="s">
        <v>10</v>
      </c>
    </row>
    <row r="9" customFormat="false" ht="15" hidden="false" customHeight="false" outlineLevel="0" collapsed="false">
      <c r="A9" s="10" t="s">
        <v>11</v>
      </c>
      <c r="B9" s="6" t="s">
        <v>12</v>
      </c>
    </row>
    <row r="11" customFormat="false" ht="15" hidden="false" customHeight="false" outlineLevel="0" collapsed="false">
      <c r="A11" s="3" t="s">
        <v>13</v>
      </c>
      <c r="B11" s="4"/>
      <c r="C11" s="4"/>
    </row>
    <row r="12" customFormat="false" ht="15" hidden="false" customHeight="false" outlineLevel="0" collapsed="false">
      <c r="A12" s="11" t="s">
        <v>14</v>
      </c>
      <c r="B12" s="11" t="s">
        <v>15</v>
      </c>
      <c r="C12" s="11" t="s">
        <v>16</v>
      </c>
    </row>
    <row r="13" customFormat="false" ht="23.85" hidden="false" customHeight="false" outlineLevel="0" collapsed="false">
      <c r="A13" s="12" t="s">
        <v>17</v>
      </c>
      <c r="B13" s="6" t="s">
        <v>18</v>
      </c>
      <c r="C13" s="13" t="s">
        <v>19</v>
      </c>
    </row>
    <row r="14" customFormat="false" ht="23.85" hidden="false" customHeight="false" outlineLevel="0" collapsed="false">
      <c r="A14" s="12" t="s">
        <v>20</v>
      </c>
      <c r="B14" s="6" t="s">
        <v>21</v>
      </c>
      <c r="C14" s="13" t="s">
        <v>22</v>
      </c>
    </row>
    <row r="15" customFormat="false" ht="15" hidden="false" customHeight="false" outlineLevel="0" collapsed="false">
      <c r="A15" s="12" t="s">
        <v>23</v>
      </c>
      <c r="B15" s="6" t="s">
        <v>24</v>
      </c>
      <c r="C15" s="13" t="s">
        <v>25</v>
      </c>
    </row>
    <row r="16" customFormat="false" ht="23.85" hidden="false" customHeight="false" outlineLevel="0" collapsed="false">
      <c r="A16" s="12" t="s">
        <v>26</v>
      </c>
      <c r="B16" s="6" t="s">
        <v>27</v>
      </c>
      <c r="C16" s="13" t="s">
        <v>28</v>
      </c>
    </row>
    <row r="17" customFormat="false" ht="15" hidden="false" customHeight="false" outlineLevel="0" collapsed="false">
      <c r="A17" s="12" t="s">
        <v>29</v>
      </c>
      <c r="B17" s="6" t="s">
        <v>30</v>
      </c>
      <c r="C17" s="13" t="s">
        <v>31</v>
      </c>
    </row>
    <row r="18" customFormat="false" ht="23.85" hidden="false" customHeight="false" outlineLevel="0" collapsed="false">
      <c r="A18" s="12" t="s">
        <v>32</v>
      </c>
      <c r="B18" s="6" t="s">
        <v>33</v>
      </c>
      <c r="C18" s="13" t="s">
        <v>34</v>
      </c>
    </row>
    <row r="20" customFormat="false" ht="15" hidden="false" customHeight="false" outlineLevel="0" collapsed="false">
      <c r="A20" s="3" t="s">
        <v>35</v>
      </c>
      <c r="B20" s="4"/>
      <c r="C20" s="4"/>
    </row>
    <row r="21" customFormat="false" ht="15" hidden="false" customHeight="false" outlineLevel="0" collapsed="false">
      <c r="A21" s="11" t="s">
        <v>36</v>
      </c>
      <c r="B21" s="11" t="s">
        <v>37</v>
      </c>
      <c r="C21" s="11" t="s">
        <v>38</v>
      </c>
    </row>
    <row r="22" customFormat="false" ht="30" hidden="false" customHeight="true" outlineLevel="0" collapsed="false">
      <c r="A22" s="14" t="s">
        <v>39</v>
      </c>
      <c r="B22" s="6" t="s">
        <v>40</v>
      </c>
      <c r="C22" s="6" t="s">
        <v>41</v>
      </c>
    </row>
    <row r="23" customFormat="false" ht="30" hidden="false" customHeight="true" outlineLevel="0" collapsed="false">
      <c r="A23" s="14" t="s">
        <v>42</v>
      </c>
      <c r="B23" s="6" t="s">
        <v>43</v>
      </c>
      <c r="C23" s="6" t="s">
        <v>44</v>
      </c>
    </row>
    <row r="24" customFormat="false" ht="30" hidden="false" customHeight="true" outlineLevel="0" collapsed="false">
      <c r="A24" s="14" t="s">
        <v>45</v>
      </c>
      <c r="B24" s="6" t="s">
        <v>46</v>
      </c>
      <c r="C24" s="6" t="s">
        <v>47</v>
      </c>
    </row>
    <row r="25" customFormat="false" ht="30" hidden="false" customHeight="true" outlineLevel="0" collapsed="false">
      <c r="A25" s="14" t="s">
        <v>48</v>
      </c>
      <c r="B25" s="6" t="s">
        <v>49</v>
      </c>
      <c r="C25" s="6" t="s">
        <v>50</v>
      </c>
    </row>
    <row r="26" customFormat="false" ht="30" hidden="false" customHeight="true" outlineLevel="0" collapsed="false">
      <c r="A26" s="14" t="s">
        <v>51</v>
      </c>
      <c r="B26" s="6" t="s">
        <v>52</v>
      </c>
      <c r="C26" s="6" t="s">
        <v>53</v>
      </c>
    </row>
    <row r="27" customFormat="false" ht="30" hidden="false" customHeight="true" outlineLevel="0" collapsed="false">
      <c r="A27" s="14" t="s">
        <v>54</v>
      </c>
      <c r="B27" s="6" t="s">
        <v>55</v>
      </c>
      <c r="C27" s="6" t="s">
        <v>56</v>
      </c>
    </row>
    <row r="28" customFormat="false" ht="30" hidden="false" customHeight="true" outlineLevel="0" collapsed="false">
      <c r="A28" s="14" t="s">
        <v>57</v>
      </c>
      <c r="B28" s="6" t="s">
        <v>58</v>
      </c>
      <c r="C28" s="6" t="s">
        <v>59</v>
      </c>
    </row>
    <row r="29" customFormat="false" ht="30" hidden="false" customHeight="true" outlineLevel="0" collapsed="false">
      <c r="A29" s="14" t="s">
        <v>60</v>
      </c>
      <c r="B29" s="6" t="s">
        <v>61</v>
      </c>
      <c r="C29" s="6" t="s">
        <v>62</v>
      </c>
    </row>
    <row r="30" customFormat="false" ht="30" hidden="false" customHeight="true" outlineLevel="0" collapsed="false">
      <c r="A30" s="14" t="s">
        <v>63</v>
      </c>
      <c r="B30" s="6" t="s">
        <v>64</v>
      </c>
      <c r="C30" s="6" t="s">
        <v>65</v>
      </c>
    </row>
    <row r="31" customFormat="false" ht="30" hidden="false" customHeight="true" outlineLevel="0" collapsed="false">
      <c r="A31" s="14" t="s">
        <v>66</v>
      </c>
      <c r="B31" s="6" t="s">
        <v>67</v>
      </c>
      <c r="C31" s="6" t="s">
        <v>68</v>
      </c>
    </row>
    <row r="32" customFormat="false" ht="30" hidden="false" customHeight="true" outlineLevel="0" collapsed="false">
      <c r="A32" s="14" t="s">
        <v>69</v>
      </c>
      <c r="B32" s="6" t="s">
        <v>70</v>
      </c>
      <c r="C32" s="6" t="s">
        <v>71</v>
      </c>
    </row>
    <row r="33" customFormat="false" ht="30" hidden="false" customHeight="true" outlineLevel="0" collapsed="false">
      <c r="A33" s="14" t="s">
        <v>72</v>
      </c>
      <c r="B33" s="6" t="s">
        <v>73</v>
      </c>
      <c r="C33" s="6" t="s">
        <v>74</v>
      </c>
    </row>
    <row r="34" customFormat="false" ht="30" hidden="false" customHeight="true" outlineLevel="0" collapsed="false">
      <c r="A34" s="14" t="s">
        <v>75</v>
      </c>
      <c r="B34" s="6" t="s">
        <v>76</v>
      </c>
      <c r="C34" s="6" t="s">
        <v>77</v>
      </c>
    </row>
    <row r="37" customFormat="false" ht="15" hidden="false" customHeight="false" outlineLevel="0" collapsed="false">
      <c r="A37" s="3" t="s">
        <v>78</v>
      </c>
      <c r="B37" s="4"/>
      <c r="C37" s="4"/>
    </row>
    <row r="38" customFormat="false" ht="31.5" hidden="false" customHeight="true" outlineLevel="0" collapsed="false">
      <c r="A38" s="14" t="s">
        <v>79</v>
      </c>
      <c r="B38" s="6" t="s">
        <v>80</v>
      </c>
      <c r="C38" s="6"/>
    </row>
    <row r="39" customFormat="false" ht="31.5" hidden="false" customHeight="true" outlineLevel="0" collapsed="false">
      <c r="A39" s="14" t="s">
        <v>81</v>
      </c>
      <c r="B39" s="6" t="s">
        <v>82</v>
      </c>
      <c r="C39" s="6"/>
    </row>
    <row r="40" customFormat="false" ht="31.5" hidden="false" customHeight="true" outlineLevel="0" collapsed="false">
      <c r="A40" s="14" t="s">
        <v>83</v>
      </c>
      <c r="B40" s="6" t="s">
        <v>84</v>
      </c>
      <c r="C40" s="6"/>
    </row>
    <row r="41" customFormat="false" ht="31.5" hidden="false" customHeight="true" outlineLevel="0" collapsed="false">
      <c r="A41" s="14" t="s">
        <v>85</v>
      </c>
      <c r="B41" s="6" t="s">
        <v>86</v>
      </c>
      <c r="C41" s="6"/>
    </row>
    <row r="42" customFormat="false" ht="31.5" hidden="false" customHeight="true" outlineLevel="0" collapsed="false">
      <c r="A42" s="14" t="s">
        <v>87</v>
      </c>
      <c r="B42" s="6" t="s">
        <v>88</v>
      </c>
      <c r="C42" s="6"/>
    </row>
    <row r="43" customFormat="false" ht="31.5" hidden="false" customHeight="true" outlineLevel="0" collapsed="false">
      <c r="A43" s="14" t="s">
        <v>89</v>
      </c>
      <c r="B43" s="6" t="s">
        <v>90</v>
      </c>
      <c r="C43" s="6"/>
    </row>
    <row r="44" customFormat="false" ht="31.5" hidden="false" customHeight="true" outlineLevel="0" collapsed="false">
      <c r="A44" s="14" t="s">
        <v>91</v>
      </c>
      <c r="B44" s="6" t="s">
        <v>92</v>
      </c>
      <c r="C44" s="6"/>
    </row>
  </sheetData>
  <mergeCells count="7">
    <mergeCell ref="B38:C38"/>
    <mergeCell ref="B39:C39"/>
    <mergeCell ref="B40:C40"/>
    <mergeCell ref="B41:C41"/>
    <mergeCell ref="B42:C42"/>
    <mergeCell ref="B43:C43"/>
    <mergeCell ref="B44:C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77B4"/>
    <pageSetUpPr fitToPage="false"/>
  </sheetPr>
  <dimension ref="A1:K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10" min="9" style="0" width="20"/>
    <col collapsed="false" customWidth="true" hidden="false" outlineLevel="0" max="11" min="11" style="0" width="9"/>
  </cols>
  <sheetData>
    <row r="1" customFormat="false" ht="17.35" hidden="false" customHeight="false" outlineLevel="0" collapsed="false">
      <c r="A1" s="1" t="s">
        <v>93</v>
      </c>
    </row>
    <row r="2" customFormat="false" ht="15" hidden="false" customHeight="false" outlineLevel="0" collapsed="false">
      <c r="A2" s="2" t="s">
        <v>94</v>
      </c>
    </row>
    <row r="4" customFormat="false" ht="15" hidden="false" customHeight="false" outlineLevel="0" collapsed="false">
      <c r="A4" s="3" t="s">
        <v>95</v>
      </c>
      <c r="B4" s="4"/>
      <c r="C4" s="4"/>
      <c r="D4" s="4"/>
    </row>
    <row r="5" customFormat="false" ht="15" hidden="false" customHeight="false" outlineLevel="0" collapsed="false">
      <c r="A5" s="11" t="s">
        <v>96</v>
      </c>
      <c r="B5" s="11" t="s">
        <v>97</v>
      </c>
      <c r="C5" s="11" t="s">
        <v>98</v>
      </c>
      <c r="D5" s="11" t="s">
        <v>99</v>
      </c>
    </row>
    <row r="6" customFormat="false" ht="15" hidden="false" customHeight="false" outlineLevel="0" collapsed="false">
      <c r="A6" s="12" t="s">
        <v>100</v>
      </c>
      <c r="B6" s="15" t="s">
        <v>101</v>
      </c>
      <c r="D6" s="16" t="s">
        <v>102</v>
      </c>
    </row>
    <row r="7" customFormat="false" ht="15" hidden="false" customHeight="false" outlineLevel="0" collapsed="false">
      <c r="A7" s="17" t="s">
        <v>103</v>
      </c>
      <c r="B7" s="18" t="n">
        <v>500</v>
      </c>
      <c r="C7" s="19" t="n">
        <f aca="false">IF($B$6="PV",B8/(1+B9)^B10,B7)</f>
        <v>500</v>
      </c>
      <c r="D7" s="6" t="s">
        <v>104</v>
      </c>
    </row>
    <row r="8" customFormat="false" ht="15" hidden="false" customHeight="false" outlineLevel="0" collapsed="false">
      <c r="A8" s="17" t="s">
        <v>105</v>
      </c>
      <c r="B8" s="18" t="n">
        <v>4000</v>
      </c>
      <c r="C8" s="19" t="n">
        <f aca="false">IF($B$6="FV",B7*(1+B9)^B10,B8)</f>
        <v>4000</v>
      </c>
      <c r="D8" s="6" t="s">
        <v>106</v>
      </c>
    </row>
    <row r="9" customFormat="false" ht="23.85" hidden="false" customHeight="false" outlineLevel="0" collapsed="false">
      <c r="A9" s="17" t="s">
        <v>107</v>
      </c>
      <c r="B9" s="20" t="n">
        <v>0.08</v>
      </c>
      <c r="C9" s="21" t="n">
        <f aca="false">IF($B$6="R",(B8/B7)^(1/B10)-1,B9)</f>
        <v>0.08</v>
      </c>
      <c r="D9" s="6" t="s">
        <v>108</v>
      </c>
    </row>
    <row r="10" customFormat="false" ht="23.85" hidden="false" customHeight="false" outlineLevel="0" collapsed="false">
      <c r="A10" s="17" t="s">
        <v>109</v>
      </c>
      <c r="B10" s="18"/>
      <c r="C10" s="19" t="n">
        <f aca="false">IF($B$6="T",LN(B8/B7)/LN(1+B9),B10)</f>
        <v>27.0194050260018</v>
      </c>
      <c r="D10" s="6" t="s">
        <v>110</v>
      </c>
    </row>
    <row r="11" customFormat="false" ht="15" hidden="false" customHeight="false" outlineLevel="0" collapsed="false">
      <c r="A11" s="12" t="s">
        <v>111</v>
      </c>
      <c r="B11" s="22" t="str">
        <f aca="false">IF($B$6="R",TEXT(C9,"0.00%"),IF($B$6="T",TEXT(C10,"0.00")&amp;" periods",IF($B$6="PV",TEXT(C7,"#,##0.00"),TEXT(C8,"#,##0.00"))))</f>
        <v>27.02 periods</v>
      </c>
      <c r="D11" s="23" t="str">
        <f aca="false">"Solved for "&amp;$B$6&amp;" from the other three inputs"</f>
        <v>Solved for T from the other three inputs</v>
      </c>
    </row>
    <row r="12" customFormat="false" ht="35.05" hidden="false" customHeight="false" outlineLevel="0" collapsed="false">
      <c r="A12" s="17" t="s">
        <v>112</v>
      </c>
      <c r="B12" s="24" t="n">
        <f aca="false">IF($B$6="PV",PV(B9,B10,0,-B8),IF($B$6="FV",FV(B9,B10,0,-B7),IF($B$6="R",RATE(B10,0,-B7,B8),NPER(B9,0,-B7,B8))))</f>
        <v>27.0194050260018</v>
      </c>
      <c r="D12" s="6" t="s">
        <v>113</v>
      </c>
    </row>
    <row r="13" customFormat="false" ht="23.85" hidden="false" customHeight="false" outlineLevel="0" collapsed="false">
      <c r="A13" s="17" t="s">
        <v>114</v>
      </c>
      <c r="B13" s="25" t="str">
        <f aca="false">IF(ABS(C8-C7*(1+C9)^C10)&lt;0.000001*MAX(1,ABS(C8)),"OK ✓","mismatch ✗")</f>
        <v>OK ✓</v>
      </c>
      <c r="D13" s="6" t="s">
        <v>115</v>
      </c>
    </row>
    <row r="15" customFormat="false" ht="15" hidden="false" customHeight="false" outlineLevel="0" collapsed="false">
      <c r="A15" s="3" t="s">
        <v>116</v>
      </c>
      <c r="B15" s="4"/>
      <c r="C15" s="4"/>
      <c r="D15" s="4"/>
    </row>
    <row r="16" customFormat="false" ht="23.85" hidden="false" customHeight="false" outlineLevel="0" collapsed="false">
      <c r="A16" s="17" t="s">
        <v>117</v>
      </c>
      <c r="B16" s="19" t="n">
        <f aca="false">C7*C9*C10</f>
        <v>1080.77620104007</v>
      </c>
      <c r="D16" s="6" t="s">
        <v>118</v>
      </c>
    </row>
    <row r="17" customFormat="false" ht="23.85" hidden="false" customHeight="false" outlineLevel="0" collapsed="false">
      <c r="A17" s="17" t="s">
        <v>119</v>
      </c>
      <c r="B17" s="19" t="n">
        <f aca="false">C8-C7-B16</f>
        <v>2419.22379895993</v>
      </c>
      <c r="D17" s="6" t="s">
        <v>120</v>
      </c>
    </row>
    <row r="18" customFormat="false" ht="15" hidden="false" customHeight="false" outlineLevel="0" collapsed="false">
      <c r="A18" s="17" t="s">
        <v>121</v>
      </c>
      <c r="B18" s="19" t="n">
        <f aca="false">C8-C7</f>
        <v>3500</v>
      </c>
    </row>
    <row r="20" customFormat="false" ht="15" hidden="false" customHeight="false" outlineLevel="0" collapsed="false">
      <c r="A20" s="3" t="s">
        <v>122</v>
      </c>
      <c r="B20" s="4"/>
      <c r="C20" s="4"/>
      <c r="D20" s="4"/>
      <c r="E20" s="4"/>
      <c r="F20" s="4"/>
      <c r="G20" s="4"/>
      <c r="H20" s="4"/>
      <c r="I20" s="4"/>
      <c r="J20" s="4"/>
      <c r="K20" s="4"/>
    </row>
    <row r="21" customFormat="false" ht="15" hidden="false" customHeight="false" outlineLevel="0" collapsed="false">
      <c r="A21" s="11" t="s">
        <v>123</v>
      </c>
      <c r="B21" s="11" t="s">
        <v>100</v>
      </c>
      <c r="C21" s="11" t="s">
        <v>124</v>
      </c>
      <c r="D21" s="11" t="s">
        <v>125</v>
      </c>
      <c r="E21" s="11" t="s">
        <v>126</v>
      </c>
      <c r="F21" s="11" t="s">
        <v>127</v>
      </c>
      <c r="G21" s="11" t="s">
        <v>128</v>
      </c>
      <c r="H21" s="11" t="s">
        <v>101</v>
      </c>
      <c r="I21" s="11" t="s">
        <v>129</v>
      </c>
      <c r="J21" s="11" t="s">
        <v>11</v>
      </c>
      <c r="K21" s="11" t="s">
        <v>130</v>
      </c>
    </row>
    <row r="22" customFormat="false" ht="15" hidden="false" customHeight="false" outlineLevel="0" collapsed="false">
      <c r="A22" s="17" t="s">
        <v>131</v>
      </c>
      <c r="B22" s="26" t="s">
        <v>127</v>
      </c>
      <c r="C22" s="13" t="s">
        <v>132</v>
      </c>
      <c r="D22" s="6" t="s">
        <v>133</v>
      </c>
      <c r="E22" s="18" t="n">
        <v>24</v>
      </c>
      <c r="F22" s="27" t="s">
        <v>134</v>
      </c>
      <c r="G22" s="20" t="n">
        <v>0.05</v>
      </c>
      <c r="H22" s="18" t="n">
        <v>399</v>
      </c>
      <c r="I22" s="28" t="n">
        <f aca="false">E22*(1+G22)^H22</f>
        <v>6835048028.54501</v>
      </c>
      <c r="J22" s="29" t="n">
        <v>6840000000</v>
      </c>
      <c r="K22" s="25" t="str">
        <f aca="false">IF(ABS(I22-J22)/ABS(J22)&lt;0.005,"✓","✗")</f>
        <v>✓</v>
      </c>
    </row>
    <row r="23" customFormat="false" ht="15" hidden="false" customHeight="false" outlineLevel="0" collapsed="false">
      <c r="A23" s="17" t="s">
        <v>135</v>
      </c>
      <c r="B23" s="26" t="s">
        <v>127</v>
      </c>
      <c r="C23" s="13" t="s">
        <v>132</v>
      </c>
      <c r="D23" s="6" t="s">
        <v>133</v>
      </c>
      <c r="E23" s="18" t="n">
        <v>24</v>
      </c>
      <c r="F23" s="27" t="s">
        <v>134</v>
      </c>
      <c r="G23" s="20" t="n">
        <v>0.06</v>
      </c>
      <c r="H23" s="18" t="n">
        <v>399</v>
      </c>
      <c r="I23" s="28" t="n">
        <f aca="false">E23*(1+G23)^H23</f>
        <v>300089971552.277</v>
      </c>
      <c r="J23" s="29" t="n">
        <v>300000000000</v>
      </c>
      <c r="K23" s="25" t="str">
        <f aca="false">IF(ABS(I23-J23)/ABS(J23)&lt;0.005,"✓","✗")</f>
        <v>✓</v>
      </c>
    </row>
    <row r="24" customFormat="false" ht="15" hidden="false" customHeight="false" outlineLevel="0" collapsed="false">
      <c r="A24" s="17" t="s">
        <v>136</v>
      </c>
      <c r="B24" s="26" t="s">
        <v>126</v>
      </c>
      <c r="C24" s="13" t="s">
        <v>137</v>
      </c>
      <c r="D24" s="6" t="s">
        <v>138</v>
      </c>
      <c r="E24" s="27" t="s">
        <v>134</v>
      </c>
      <c r="F24" s="18" t="n">
        <v>45</v>
      </c>
      <c r="G24" s="20" t="n">
        <v>0.06</v>
      </c>
      <c r="H24" s="18" t="n">
        <v>15</v>
      </c>
      <c r="I24" s="30" t="n">
        <f aca="false">F24/(1+G24)^H24</f>
        <v>18.7769277330993</v>
      </c>
      <c r="J24" s="31" t="n">
        <v>18.78</v>
      </c>
      <c r="K24" s="25" t="str">
        <f aca="false">IF(ABS(I24-J24)/ABS(J24)&lt;0.005,"✓","✗")</f>
        <v>✓</v>
      </c>
    </row>
    <row r="25" customFormat="false" ht="15" hidden="false" customHeight="false" outlineLevel="0" collapsed="false">
      <c r="A25" s="17" t="s">
        <v>139</v>
      </c>
      <c r="B25" s="26" t="s">
        <v>126</v>
      </c>
      <c r="C25" s="13" t="s">
        <v>137</v>
      </c>
      <c r="D25" s="6" t="s">
        <v>138</v>
      </c>
      <c r="E25" s="27" t="s">
        <v>134</v>
      </c>
      <c r="F25" s="18" t="n">
        <v>45</v>
      </c>
      <c r="G25" s="20" t="n">
        <v>0.04</v>
      </c>
      <c r="H25" s="18" t="n">
        <v>15</v>
      </c>
      <c r="I25" s="30" t="n">
        <f aca="false">F25/(1+G25)^H25</f>
        <v>24.9869026220974</v>
      </c>
      <c r="J25" s="31" t="n">
        <v>24.99</v>
      </c>
      <c r="K25" s="25" t="str">
        <f aca="false">IF(ABS(I25-J25)/ABS(J25)&lt;0.005,"✓","✗")</f>
        <v>✓</v>
      </c>
    </row>
    <row r="26" customFormat="false" ht="15" hidden="false" customHeight="false" outlineLevel="0" collapsed="false">
      <c r="A26" s="17" t="s">
        <v>140</v>
      </c>
      <c r="B26" s="26" t="s">
        <v>128</v>
      </c>
      <c r="C26" s="13" t="s">
        <v>141</v>
      </c>
      <c r="D26" s="6" t="s">
        <v>142</v>
      </c>
      <c r="E26" s="18" t="n">
        <v>1.3</v>
      </c>
      <c r="F26" s="18" t="n">
        <v>2.5</v>
      </c>
      <c r="G26" s="27" t="s">
        <v>134</v>
      </c>
      <c r="H26" s="18" t="n">
        <v>25</v>
      </c>
      <c r="I26" s="32" t="n">
        <f aca="false">(F26/E26)^(1/H26)-1</f>
        <v>0.0265021569039958</v>
      </c>
      <c r="J26" s="33" t="n">
        <v>0.0265</v>
      </c>
      <c r="K26" s="25" t="str">
        <f aca="false">IF(ABS(I26-J26)/ABS(J26)&lt;0.005,"✓","✗")</f>
        <v>✓</v>
      </c>
    </row>
    <row r="27" customFormat="false" ht="15" hidden="false" customHeight="false" outlineLevel="0" collapsed="false">
      <c r="A27" s="17" t="s">
        <v>143</v>
      </c>
      <c r="B27" s="26" t="s">
        <v>101</v>
      </c>
      <c r="C27" s="13" t="s">
        <v>144</v>
      </c>
      <c r="D27" s="6" t="s">
        <v>145</v>
      </c>
      <c r="E27" s="18" t="n">
        <v>500</v>
      </c>
      <c r="F27" s="18" t="n">
        <v>4000</v>
      </c>
      <c r="G27" s="20" t="n">
        <v>0.08</v>
      </c>
      <c r="H27" s="27" t="s">
        <v>134</v>
      </c>
      <c r="I27" s="30" t="n">
        <f aca="false">LN(F27/E27)/LN(1+G27)</f>
        <v>27.0194050260018</v>
      </c>
      <c r="J27" s="31" t="n">
        <v>27</v>
      </c>
      <c r="K27" s="25" t="str">
        <f aca="false">IF(ABS(I27-J27)/ABS(J27)&lt;0.005,"✓","✗")</f>
        <v>✓</v>
      </c>
    </row>
    <row r="28" customFormat="false" ht="15" hidden="false" customHeight="false" outlineLevel="0" collapsed="false">
      <c r="A28" s="17" t="s">
        <v>146</v>
      </c>
      <c r="B28" s="26" t="s">
        <v>101</v>
      </c>
      <c r="C28" s="13" t="s">
        <v>144</v>
      </c>
      <c r="D28" s="6" t="s">
        <v>145</v>
      </c>
      <c r="E28" s="18" t="n">
        <v>500</v>
      </c>
      <c r="F28" s="18" t="n">
        <v>4000</v>
      </c>
      <c r="G28" s="20" t="n">
        <v>0.04</v>
      </c>
      <c r="H28" s="27" t="s">
        <v>134</v>
      </c>
      <c r="I28" s="30" t="n">
        <f aca="false">LN(F28/E28)/LN(1+G28)</f>
        <v>53.0189630553891</v>
      </c>
      <c r="J28" s="31" t="n">
        <v>53</v>
      </c>
      <c r="K28" s="25" t="str">
        <f aca="false">IF(ABS(I28-J28)/ABS(J28)&lt;0.005,"✓","✗")</f>
        <v>✓</v>
      </c>
    </row>
    <row r="29" customFormat="false" ht="15" hidden="false" customHeight="false" outlineLevel="0" collapsed="false">
      <c r="A29" s="17" t="s">
        <v>147</v>
      </c>
      <c r="B29" s="26" t="s">
        <v>127</v>
      </c>
      <c r="C29" s="13" t="s">
        <v>148</v>
      </c>
      <c r="D29" s="6" t="s">
        <v>133</v>
      </c>
      <c r="E29" s="18" t="n">
        <v>100</v>
      </c>
      <c r="F29" s="27" t="s">
        <v>134</v>
      </c>
      <c r="G29" s="20" t="n">
        <v>0.05</v>
      </c>
      <c r="H29" s="18" t="n">
        <v>2</v>
      </c>
      <c r="I29" s="30" t="n">
        <f aca="false">E29*(1+G29)^H29</f>
        <v>110.25</v>
      </c>
      <c r="J29" s="31" t="n">
        <v>110.25</v>
      </c>
      <c r="K29" s="25" t="str">
        <f aca="false">IF(ABS(I29-J29)/ABS(J29)&lt;0.005,"✓","✗")</f>
        <v>✓</v>
      </c>
    </row>
    <row r="30" customFormat="false" ht="15" hidden="false" customHeight="false" outlineLevel="0" collapsed="false">
      <c r="A30" s="17" t="s">
        <v>149</v>
      </c>
      <c r="B30" s="26" t="s">
        <v>126</v>
      </c>
      <c r="C30" s="13" t="s">
        <v>150</v>
      </c>
      <c r="D30" s="6" t="s">
        <v>138</v>
      </c>
      <c r="E30" s="27" t="s">
        <v>134</v>
      </c>
      <c r="F30" s="18" t="n">
        <v>100</v>
      </c>
      <c r="G30" s="20" t="n">
        <v>0.05</v>
      </c>
      <c r="H30" s="18" t="n">
        <v>2</v>
      </c>
      <c r="I30" s="30" t="n">
        <f aca="false">F30/(1+G30)^H30</f>
        <v>90.702947845805</v>
      </c>
      <c r="J30" s="31" t="n">
        <v>90.7</v>
      </c>
      <c r="K30" s="25" t="str">
        <f aca="false">IF(ABS(I30-J30)/ABS(J30)&lt;0.005,"✓","✗")</f>
        <v>✓</v>
      </c>
    </row>
    <row r="31" customFormat="false" ht="15" hidden="false" customHeight="false" outlineLevel="0" collapsed="false">
      <c r="A31" s="16" t="s">
        <v>151</v>
      </c>
    </row>
    <row r="33" customFormat="false" ht="15" hidden="false" customHeight="false" outlineLevel="0" collapsed="false">
      <c r="A33" s="3" t="s">
        <v>152</v>
      </c>
      <c r="B33" s="4"/>
      <c r="C33" s="4"/>
      <c r="D33" s="4"/>
      <c r="E33" s="4"/>
      <c r="F33" s="4"/>
      <c r="G33" s="4"/>
      <c r="H33" s="4"/>
      <c r="I33" s="4"/>
      <c r="J33" s="4"/>
    </row>
    <row r="34" customFormat="false" ht="15" hidden="false" customHeight="false" outlineLevel="0" collapsed="false">
      <c r="A34" s="17" t="s">
        <v>153</v>
      </c>
      <c r="B34" s="18" t="n">
        <v>100</v>
      </c>
    </row>
    <row r="35" customFormat="false" ht="15" hidden="false" customHeight="false" outlineLevel="0" collapsed="false">
      <c r="A35" s="17" t="s">
        <v>154</v>
      </c>
      <c r="B35" s="34" t="n">
        <v>0</v>
      </c>
      <c r="C35" s="34" t="n">
        <v>0.05</v>
      </c>
      <c r="D35" s="34" t="n">
        <v>0.1</v>
      </c>
      <c r="E35" s="34" t="n">
        <v>0.15</v>
      </c>
      <c r="G35" s="17" t="s">
        <v>155</v>
      </c>
      <c r="H35" s="35" t="n">
        <f aca="false">B35</f>
        <v>0</v>
      </c>
      <c r="I35" s="35" t="n">
        <f aca="false">C35</f>
        <v>0.05</v>
      </c>
      <c r="J35" s="35" t="n">
        <f aca="false">D35</f>
        <v>0.1</v>
      </c>
      <c r="K35" s="35" t="n">
        <f aca="false">E35</f>
        <v>0.15</v>
      </c>
    </row>
    <row r="36" customFormat="false" ht="15" hidden="false" customHeight="false" outlineLevel="0" collapsed="false">
      <c r="A36" s="36" t="s">
        <v>156</v>
      </c>
      <c r="B36" s="36" t="str">
        <f aca="false">"FV at R = "&amp;TEXT(B35,"0%")</f>
        <v>FV at R = 0%</v>
      </c>
      <c r="C36" s="36" t="str">
        <f aca="false">"FV at R = "&amp;TEXT(C35,"0%")</f>
        <v>FV at R = 5%</v>
      </c>
      <c r="D36" s="36" t="str">
        <f aca="false">"FV at R = "&amp;TEXT(D35,"0%")</f>
        <v>FV at R = 10%</v>
      </c>
      <c r="E36" s="36" t="str">
        <f aca="false">"FV at R = "&amp;TEXT(E35,"0%")</f>
        <v>FV at R = 15%</v>
      </c>
      <c r="G36" s="36" t="s">
        <v>156</v>
      </c>
      <c r="H36" s="36" t="str">
        <f aca="false">"PV at R = "&amp;TEXT(H35,"0%")</f>
        <v>PV at R = 0%</v>
      </c>
      <c r="I36" s="36" t="str">
        <f aca="false">"PV at R = "&amp;TEXT(I35,"0%")</f>
        <v>PV at R = 5%</v>
      </c>
      <c r="J36" s="36" t="str">
        <f aca="false">"PV at R = "&amp;TEXT(J35,"0%")</f>
        <v>PV at R = 10%</v>
      </c>
      <c r="K36" s="36" t="str">
        <f aca="false">"PV at R = "&amp;TEXT(K35,"0%")</f>
        <v>PV at R = 15%</v>
      </c>
    </row>
    <row r="37" customFormat="false" ht="15" hidden="false" customHeight="false" outlineLevel="0" collapsed="false">
      <c r="A37" s="13" t="n">
        <v>0</v>
      </c>
      <c r="B37" s="37" t="n">
        <f aca="false">$B$34*(1+B$35)^$A37</f>
        <v>100</v>
      </c>
      <c r="C37" s="37" t="n">
        <f aca="false">$B$34*(1+C$35)^$A37</f>
        <v>100</v>
      </c>
      <c r="D37" s="37" t="n">
        <f aca="false">$B$34*(1+D$35)^$A37</f>
        <v>100</v>
      </c>
      <c r="E37" s="37" t="n">
        <f aca="false">$B$34*(1+E$35)^$A37</f>
        <v>100</v>
      </c>
      <c r="G37" s="13" t="n">
        <v>0</v>
      </c>
      <c r="H37" s="37" t="n">
        <f aca="false">$B$34/(1+H$35)^$G37</f>
        <v>100</v>
      </c>
      <c r="I37" s="37" t="n">
        <f aca="false">$B$34/(1+I$35)^$G37</f>
        <v>100</v>
      </c>
      <c r="J37" s="37" t="n">
        <f aca="false">$B$34/(1+J$35)^$G37</f>
        <v>100</v>
      </c>
      <c r="K37" s="37" t="n">
        <f aca="false">$B$34/(1+K$35)^$G37</f>
        <v>100</v>
      </c>
    </row>
    <row r="38" customFormat="false" ht="15" hidden="false" customHeight="false" outlineLevel="0" collapsed="false">
      <c r="A38" s="13" t="n">
        <v>1</v>
      </c>
      <c r="B38" s="37" t="n">
        <f aca="false">$B$34*(1+B$35)^$A38</f>
        <v>100</v>
      </c>
      <c r="C38" s="37" t="n">
        <f aca="false">$B$34*(1+C$35)^$A38</f>
        <v>105</v>
      </c>
      <c r="D38" s="37" t="n">
        <f aca="false">$B$34*(1+D$35)^$A38</f>
        <v>110</v>
      </c>
      <c r="E38" s="37" t="n">
        <f aca="false">$B$34*(1+E$35)^$A38</f>
        <v>115</v>
      </c>
      <c r="G38" s="13" t="n">
        <v>1</v>
      </c>
      <c r="H38" s="37" t="n">
        <f aca="false">$B$34/(1+H$35)^$G38</f>
        <v>100</v>
      </c>
      <c r="I38" s="37" t="n">
        <f aca="false">$B$34/(1+I$35)^$G38</f>
        <v>95.2380952380952</v>
      </c>
      <c r="J38" s="37" t="n">
        <f aca="false">$B$34/(1+J$35)^$G38</f>
        <v>90.9090909090909</v>
      </c>
      <c r="K38" s="37" t="n">
        <f aca="false">$B$34/(1+K$35)^$G38</f>
        <v>86.9565217391304</v>
      </c>
    </row>
    <row r="39" customFormat="false" ht="15" hidden="false" customHeight="false" outlineLevel="0" collapsed="false">
      <c r="A39" s="13" t="n">
        <v>2</v>
      </c>
      <c r="B39" s="37" t="n">
        <f aca="false">$B$34*(1+B$35)^$A39</f>
        <v>100</v>
      </c>
      <c r="C39" s="37" t="n">
        <f aca="false">$B$34*(1+C$35)^$A39</f>
        <v>110.25</v>
      </c>
      <c r="D39" s="37" t="n">
        <f aca="false">$B$34*(1+D$35)^$A39</f>
        <v>121</v>
      </c>
      <c r="E39" s="37" t="n">
        <f aca="false">$B$34*(1+E$35)^$A39</f>
        <v>132.25</v>
      </c>
      <c r="G39" s="13" t="n">
        <v>2</v>
      </c>
      <c r="H39" s="37" t="n">
        <f aca="false">$B$34/(1+H$35)^$G39</f>
        <v>100</v>
      </c>
      <c r="I39" s="37" t="n">
        <f aca="false">$B$34/(1+I$35)^$G39</f>
        <v>90.702947845805</v>
      </c>
      <c r="J39" s="37" t="n">
        <f aca="false">$B$34/(1+J$35)^$G39</f>
        <v>82.6446280991735</v>
      </c>
      <c r="K39" s="37" t="n">
        <f aca="false">$B$34/(1+K$35)^$G39</f>
        <v>75.6143667296787</v>
      </c>
    </row>
    <row r="40" customFormat="false" ht="15" hidden="false" customHeight="false" outlineLevel="0" collapsed="false">
      <c r="A40" s="13" t="n">
        <v>3</v>
      </c>
      <c r="B40" s="37" t="n">
        <f aca="false">$B$34*(1+B$35)^$A40</f>
        <v>100</v>
      </c>
      <c r="C40" s="37" t="n">
        <f aca="false">$B$34*(1+C$35)^$A40</f>
        <v>115.7625</v>
      </c>
      <c r="D40" s="37" t="n">
        <f aca="false">$B$34*(1+D$35)^$A40</f>
        <v>133.1</v>
      </c>
      <c r="E40" s="37" t="n">
        <f aca="false">$B$34*(1+E$35)^$A40</f>
        <v>152.0875</v>
      </c>
      <c r="G40" s="13" t="n">
        <v>3</v>
      </c>
      <c r="H40" s="37" t="n">
        <f aca="false">$B$34/(1+H$35)^$G40</f>
        <v>100</v>
      </c>
      <c r="I40" s="37" t="n">
        <f aca="false">$B$34/(1+I$35)^$G40</f>
        <v>86.3837598531476</v>
      </c>
      <c r="J40" s="37" t="n">
        <f aca="false">$B$34/(1+J$35)^$G40</f>
        <v>75.1314800901578</v>
      </c>
      <c r="K40" s="37" t="n">
        <f aca="false">$B$34/(1+K$35)^$G40</f>
        <v>65.7516232431988</v>
      </c>
    </row>
    <row r="41" customFormat="false" ht="15" hidden="false" customHeight="false" outlineLevel="0" collapsed="false">
      <c r="A41" s="13" t="n">
        <v>4</v>
      </c>
      <c r="B41" s="37" t="n">
        <f aca="false">$B$34*(1+B$35)^$A41</f>
        <v>100</v>
      </c>
      <c r="C41" s="37" t="n">
        <f aca="false">$B$34*(1+C$35)^$A41</f>
        <v>121.550625</v>
      </c>
      <c r="D41" s="37" t="n">
        <f aca="false">$B$34*(1+D$35)^$A41</f>
        <v>146.41</v>
      </c>
      <c r="E41" s="37" t="n">
        <f aca="false">$B$34*(1+E$35)^$A41</f>
        <v>174.900625</v>
      </c>
      <c r="G41" s="13" t="n">
        <v>4</v>
      </c>
      <c r="H41" s="37" t="n">
        <f aca="false">$B$34/(1+H$35)^$G41</f>
        <v>100</v>
      </c>
      <c r="I41" s="37" t="n">
        <f aca="false">$B$34/(1+I$35)^$G41</f>
        <v>82.2702474791882</v>
      </c>
      <c r="J41" s="37" t="n">
        <f aca="false">$B$34/(1+J$35)^$G41</f>
        <v>68.3013455365071</v>
      </c>
      <c r="K41" s="37" t="n">
        <f aca="false">$B$34/(1+K$35)^$G41</f>
        <v>57.1753245593033</v>
      </c>
    </row>
    <row r="42" customFormat="false" ht="15" hidden="false" customHeight="false" outlineLevel="0" collapsed="false">
      <c r="A42" s="13" t="n">
        <v>5</v>
      </c>
      <c r="B42" s="37" t="n">
        <f aca="false">$B$34*(1+B$35)^$A42</f>
        <v>100</v>
      </c>
      <c r="C42" s="37" t="n">
        <f aca="false">$B$34*(1+C$35)^$A42</f>
        <v>127.62815625</v>
      </c>
      <c r="D42" s="37" t="n">
        <f aca="false">$B$34*(1+D$35)^$A42</f>
        <v>161.051</v>
      </c>
      <c r="E42" s="37" t="n">
        <f aca="false">$B$34*(1+E$35)^$A42</f>
        <v>201.13571875</v>
      </c>
      <c r="G42" s="13" t="n">
        <v>5</v>
      </c>
      <c r="H42" s="37" t="n">
        <f aca="false">$B$34/(1+H$35)^$G42</f>
        <v>100</v>
      </c>
      <c r="I42" s="37" t="n">
        <f aca="false">$B$34/(1+I$35)^$G42</f>
        <v>78.3526166468459</v>
      </c>
      <c r="J42" s="37" t="n">
        <f aca="false">$B$34/(1+J$35)^$G42</f>
        <v>62.0921323059155</v>
      </c>
      <c r="K42" s="37" t="n">
        <f aca="false">$B$34/(1+K$35)^$G42</f>
        <v>49.717673529829</v>
      </c>
    </row>
    <row r="43" customFormat="false" ht="15" hidden="false" customHeight="false" outlineLevel="0" collapsed="false">
      <c r="A43" s="13" t="n">
        <v>6</v>
      </c>
      <c r="B43" s="37" t="n">
        <f aca="false">$B$34*(1+B$35)^$A43</f>
        <v>100</v>
      </c>
      <c r="C43" s="37" t="n">
        <f aca="false">$B$34*(1+C$35)^$A43</f>
        <v>134.0095640625</v>
      </c>
      <c r="D43" s="37" t="n">
        <f aca="false">$B$34*(1+D$35)^$A43</f>
        <v>177.1561</v>
      </c>
      <c r="E43" s="37" t="n">
        <f aca="false">$B$34*(1+E$35)^$A43</f>
        <v>231.3060765625</v>
      </c>
      <c r="G43" s="13" t="n">
        <v>6</v>
      </c>
      <c r="H43" s="37" t="n">
        <f aca="false">$B$34/(1+H$35)^$G43</f>
        <v>100</v>
      </c>
      <c r="I43" s="37" t="n">
        <f aca="false">$B$34/(1+I$35)^$G43</f>
        <v>74.6215396636627</v>
      </c>
      <c r="J43" s="37" t="n">
        <f aca="false">$B$34/(1+J$35)^$G43</f>
        <v>56.4473930053777</v>
      </c>
      <c r="K43" s="37" t="n">
        <f aca="false">$B$34/(1+K$35)^$G43</f>
        <v>43.2327595911557</v>
      </c>
    </row>
    <row r="44" customFormat="false" ht="15" hidden="false" customHeight="false" outlineLevel="0" collapsed="false">
      <c r="A44" s="13" t="n">
        <v>7</v>
      </c>
      <c r="B44" s="37" t="n">
        <f aca="false">$B$34*(1+B$35)^$A44</f>
        <v>100</v>
      </c>
      <c r="C44" s="37" t="n">
        <f aca="false">$B$34*(1+C$35)^$A44</f>
        <v>140.710042265625</v>
      </c>
      <c r="D44" s="37" t="n">
        <f aca="false">$B$34*(1+D$35)^$A44</f>
        <v>194.87171</v>
      </c>
      <c r="E44" s="37" t="n">
        <f aca="false">$B$34*(1+E$35)^$A44</f>
        <v>266.001988046875</v>
      </c>
      <c r="G44" s="13" t="n">
        <v>7</v>
      </c>
      <c r="H44" s="37" t="n">
        <f aca="false">$B$34/(1+H$35)^$G44</f>
        <v>100</v>
      </c>
      <c r="I44" s="37" t="n">
        <f aca="false">$B$34/(1+I$35)^$G44</f>
        <v>71.0681330130121</v>
      </c>
      <c r="J44" s="37" t="n">
        <f aca="false">$B$34/(1+J$35)^$G44</f>
        <v>51.3158118230706</v>
      </c>
      <c r="K44" s="37" t="n">
        <f aca="false">$B$34/(1+K$35)^$G44</f>
        <v>37.5937039923093</v>
      </c>
    </row>
    <row r="45" customFormat="false" ht="15" hidden="false" customHeight="false" outlineLevel="0" collapsed="false">
      <c r="A45" s="13" t="n">
        <v>8</v>
      </c>
      <c r="B45" s="37" t="n">
        <f aca="false">$B$34*(1+B$35)^$A45</f>
        <v>100</v>
      </c>
      <c r="C45" s="37" t="n">
        <f aca="false">$B$34*(1+C$35)^$A45</f>
        <v>147.745544378906</v>
      </c>
      <c r="D45" s="37" t="n">
        <f aca="false">$B$34*(1+D$35)^$A45</f>
        <v>214.358881</v>
      </c>
      <c r="E45" s="37" t="n">
        <f aca="false">$B$34*(1+E$35)^$A45</f>
        <v>305.902286253906</v>
      </c>
      <c r="G45" s="13" t="n">
        <v>8</v>
      </c>
      <c r="H45" s="37" t="n">
        <f aca="false">$B$34/(1+H$35)^$G45</f>
        <v>100</v>
      </c>
      <c r="I45" s="37" t="n">
        <f aca="false">$B$34/(1+I$35)^$G45</f>
        <v>67.6839362028687</v>
      </c>
      <c r="J45" s="37" t="n">
        <f aca="false">$B$34/(1+J$35)^$G45</f>
        <v>46.6507380209733</v>
      </c>
      <c r="K45" s="37" t="n">
        <f aca="false">$B$34/(1+K$35)^$G45</f>
        <v>32.6901773846168</v>
      </c>
    </row>
    <row r="46" customFormat="false" ht="15" hidden="false" customHeight="false" outlineLevel="0" collapsed="false">
      <c r="A46" s="13" t="n">
        <v>9</v>
      </c>
      <c r="B46" s="37" t="n">
        <f aca="false">$B$34*(1+B$35)^$A46</f>
        <v>100</v>
      </c>
      <c r="C46" s="37" t="n">
        <f aca="false">$B$34*(1+C$35)^$A46</f>
        <v>155.132821597852</v>
      </c>
      <c r="D46" s="37" t="n">
        <f aca="false">$B$34*(1+D$35)^$A46</f>
        <v>235.7947691</v>
      </c>
      <c r="E46" s="37" t="n">
        <f aca="false">$B$34*(1+E$35)^$A46</f>
        <v>351.787629191992</v>
      </c>
      <c r="G46" s="13" t="n">
        <v>9</v>
      </c>
      <c r="H46" s="37" t="n">
        <f aca="false">$B$34/(1+H$35)^$G46</f>
        <v>100</v>
      </c>
      <c r="I46" s="37" t="n">
        <f aca="false">$B$34/(1+I$35)^$G46</f>
        <v>64.4608916217797</v>
      </c>
      <c r="J46" s="37" t="n">
        <f aca="false">$B$34/(1+J$35)^$G46</f>
        <v>42.4097618372485</v>
      </c>
      <c r="K46" s="37" t="n">
        <f aca="false">$B$34/(1+K$35)^$G46</f>
        <v>28.4262412040146</v>
      </c>
    </row>
    <row r="47" customFormat="false" ht="15" hidden="false" customHeight="false" outlineLevel="0" collapsed="false">
      <c r="A47" s="13" t="n">
        <v>10</v>
      </c>
      <c r="B47" s="37" t="n">
        <f aca="false">$B$34*(1+B$35)^$A47</f>
        <v>100</v>
      </c>
      <c r="C47" s="37" t="n">
        <f aca="false">$B$34*(1+C$35)^$A47</f>
        <v>162.889462677744</v>
      </c>
      <c r="D47" s="37" t="n">
        <f aca="false">$B$34*(1+D$35)^$A47</f>
        <v>259.37424601</v>
      </c>
      <c r="E47" s="37" t="n">
        <f aca="false">$B$34*(1+E$35)^$A47</f>
        <v>404.555773570791</v>
      </c>
      <c r="G47" s="13" t="n">
        <v>10</v>
      </c>
      <c r="H47" s="37" t="n">
        <f aca="false">$B$34/(1+H$35)^$G47</f>
        <v>100</v>
      </c>
      <c r="I47" s="37" t="n">
        <f aca="false">$B$34/(1+I$35)^$G47</f>
        <v>61.3913253540759</v>
      </c>
      <c r="J47" s="37" t="n">
        <f aca="false">$B$34/(1+J$35)^$G47</f>
        <v>38.5543289429531</v>
      </c>
      <c r="K47" s="37" t="n">
        <f aca="false">$B$34/(1+K$35)^$G47</f>
        <v>24.7184706121866</v>
      </c>
    </row>
    <row r="48" customFormat="false" ht="15" hidden="false" customHeight="false" outlineLevel="0" collapsed="false">
      <c r="A48" s="13" t="n">
        <v>11</v>
      </c>
      <c r="B48" s="37" t="n">
        <f aca="false">$B$34*(1+B$35)^$A48</f>
        <v>100</v>
      </c>
      <c r="C48" s="37" t="n">
        <f aca="false">$B$34*(1+C$35)^$A48</f>
        <v>171.033935811631</v>
      </c>
      <c r="D48" s="37" t="n">
        <f aca="false">$B$34*(1+D$35)^$A48</f>
        <v>285.311670611</v>
      </c>
      <c r="E48" s="37" t="n">
        <f aca="false">$B$34*(1+E$35)^$A48</f>
        <v>465.239139606409</v>
      </c>
      <c r="G48" s="13" t="n">
        <v>11</v>
      </c>
      <c r="H48" s="37" t="n">
        <f aca="false">$B$34/(1+H$35)^$G48</f>
        <v>100</v>
      </c>
      <c r="I48" s="37" t="n">
        <f aca="false">$B$34/(1+I$35)^$G48</f>
        <v>58.4679289086437</v>
      </c>
      <c r="J48" s="37" t="n">
        <f aca="false">$B$34/(1+J$35)^$G48</f>
        <v>35.0493899481392</v>
      </c>
      <c r="K48" s="37" t="n">
        <f aca="false">$B$34/(1+K$35)^$G48</f>
        <v>21.4943222714666</v>
      </c>
    </row>
    <row r="49" customFormat="false" ht="15" hidden="false" customHeight="false" outlineLevel="0" collapsed="false">
      <c r="A49" s="13" t="n">
        <v>12</v>
      </c>
      <c r="B49" s="37" t="n">
        <f aca="false">$B$34*(1+B$35)^$A49</f>
        <v>100</v>
      </c>
      <c r="C49" s="37" t="n">
        <f aca="false">$B$34*(1+C$35)^$A49</f>
        <v>179.585632602213</v>
      </c>
      <c r="D49" s="37" t="n">
        <f aca="false">$B$34*(1+D$35)^$A49</f>
        <v>313.8428376721</v>
      </c>
      <c r="E49" s="37" t="n">
        <f aca="false">$B$34*(1+E$35)^$A49</f>
        <v>535.025010547371</v>
      </c>
      <c r="G49" s="13" t="n">
        <v>12</v>
      </c>
      <c r="H49" s="37" t="n">
        <f aca="false">$B$34/(1+H$35)^$G49</f>
        <v>100</v>
      </c>
      <c r="I49" s="37" t="n">
        <f aca="false">$B$34/(1+I$35)^$G49</f>
        <v>55.6837418177559</v>
      </c>
      <c r="J49" s="37" t="n">
        <f aca="false">$B$34/(1+J$35)^$G49</f>
        <v>31.8630817710357</v>
      </c>
      <c r="K49" s="37" t="n">
        <f aca="false">$B$34/(1+K$35)^$G49</f>
        <v>18.6907150186666</v>
      </c>
    </row>
    <row r="50" customFormat="false" ht="15" hidden="false" customHeight="false" outlineLevel="0" collapsed="false">
      <c r="A50" s="13" t="n">
        <v>13</v>
      </c>
      <c r="B50" s="37" t="n">
        <f aca="false">$B$34*(1+B$35)^$A50</f>
        <v>100</v>
      </c>
      <c r="C50" s="37" t="n">
        <f aca="false">$B$34*(1+C$35)^$A50</f>
        <v>188.564914232324</v>
      </c>
      <c r="D50" s="37" t="n">
        <f aca="false">$B$34*(1+D$35)^$A50</f>
        <v>345.22712143931</v>
      </c>
      <c r="E50" s="37" t="n">
        <f aca="false">$B$34*(1+E$35)^$A50</f>
        <v>615.278762129476</v>
      </c>
      <c r="G50" s="13" t="n">
        <v>13</v>
      </c>
      <c r="H50" s="37" t="n">
        <f aca="false">$B$34/(1+H$35)^$G50</f>
        <v>100</v>
      </c>
      <c r="I50" s="37" t="n">
        <f aca="false">$B$34/(1+I$35)^$G50</f>
        <v>53.0321350645295</v>
      </c>
      <c r="J50" s="37" t="n">
        <f aca="false">$B$34/(1+J$35)^$G50</f>
        <v>28.9664379736688</v>
      </c>
      <c r="K50" s="37" t="n">
        <f aca="false">$B$34/(1+K$35)^$G50</f>
        <v>16.2527956684057</v>
      </c>
    </row>
    <row r="51" customFormat="false" ht="15" hidden="false" customHeight="false" outlineLevel="0" collapsed="false">
      <c r="A51" s="13" t="n">
        <v>14</v>
      </c>
      <c r="B51" s="37" t="n">
        <f aca="false">$B$34*(1+B$35)^$A51</f>
        <v>100</v>
      </c>
      <c r="C51" s="37" t="n">
        <f aca="false">$B$34*(1+C$35)^$A51</f>
        <v>197.99315994394</v>
      </c>
      <c r="D51" s="37" t="n">
        <f aca="false">$B$34*(1+D$35)^$A51</f>
        <v>379.749833583241</v>
      </c>
      <c r="E51" s="37" t="n">
        <f aca="false">$B$34*(1+E$35)^$A51</f>
        <v>707.570576448898</v>
      </c>
      <c r="G51" s="13" t="n">
        <v>14</v>
      </c>
      <c r="H51" s="37" t="n">
        <f aca="false">$B$34/(1+H$35)^$G51</f>
        <v>100</v>
      </c>
      <c r="I51" s="37" t="n">
        <f aca="false">$B$34/(1+I$35)^$G51</f>
        <v>50.5067952995519</v>
      </c>
      <c r="J51" s="37" t="n">
        <f aca="false">$B$34/(1+J$35)^$G51</f>
        <v>26.333125430608</v>
      </c>
      <c r="K51" s="37" t="n">
        <f aca="false">$B$34/(1+K$35)^$G51</f>
        <v>14.1328657986137</v>
      </c>
    </row>
    <row r="52" customFormat="false" ht="15" hidden="false" customHeight="false" outlineLevel="0" collapsed="false">
      <c r="A52" s="13" t="n">
        <v>15</v>
      </c>
      <c r="B52" s="37" t="n">
        <f aca="false">$B$34*(1+B$35)^$A52</f>
        <v>100</v>
      </c>
      <c r="C52" s="37" t="n">
        <f aca="false">$B$34*(1+C$35)^$A52</f>
        <v>207.892817941137</v>
      </c>
      <c r="D52" s="37" t="n">
        <f aca="false">$B$34*(1+D$35)^$A52</f>
        <v>417.724816941566</v>
      </c>
      <c r="E52" s="37" t="n">
        <f aca="false">$B$34*(1+E$35)^$A52</f>
        <v>813.706162916232</v>
      </c>
      <c r="G52" s="13" t="n">
        <v>15</v>
      </c>
      <c r="H52" s="37" t="n">
        <f aca="false">$B$34/(1+H$35)^$G52</f>
        <v>100</v>
      </c>
      <c r="I52" s="37" t="n">
        <f aca="false">$B$34/(1+I$35)^$G52</f>
        <v>48.101709809097</v>
      </c>
      <c r="J52" s="37" t="n">
        <f aca="false">$B$34/(1+J$35)^$G52</f>
        <v>23.9392049369163</v>
      </c>
      <c r="K52" s="37" t="n">
        <f aca="false">$B$34/(1+K$35)^$G52</f>
        <v>12.2894485205336</v>
      </c>
    </row>
    <row r="53" customFormat="false" ht="15" hidden="false" customHeight="false" outlineLevel="0" collapsed="false">
      <c r="A53" s="13" t="n">
        <v>16</v>
      </c>
      <c r="B53" s="37" t="n">
        <f aca="false">$B$34*(1+B$35)^$A53</f>
        <v>100</v>
      </c>
      <c r="C53" s="37" t="n">
        <f aca="false">$B$34*(1+C$35)^$A53</f>
        <v>218.287458838194</v>
      </c>
      <c r="D53" s="37" t="n">
        <f aca="false">$B$34*(1+D$35)^$A53</f>
        <v>459.497298635722</v>
      </c>
      <c r="E53" s="37" t="n">
        <f aca="false">$B$34*(1+E$35)^$A53</f>
        <v>935.762087353667</v>
      </c>
      <c r="G53" s="13" t="n">
        <v>16</v>
      </c>
      <c r="H53" s="37" t="n">
        <f aca="false">$B$34/(1+H$35)^$G53</f>
        <v>100</v>
      </c>
      <c r="I53" s="37" t="n">
        <f aca="false">$B$34/(1+I$35)^$G53</f>
        <v>45.81115219914</v>
      </c>
      <c r="J53" s="37" t="n">
        <f aca="false">$B$34/(1+J$35)^$G53</f>
        <v>21.7629135790149</v>
      </c>
      <c r="K53" s="37" t="n">
        <f aca="false">$B$34/(1+K$35)^$G53</f>
        <v>10.6864769743771</v>
      </c>
    </row>
    <row r="54" customFormat="false" ht="15" hidden="false" customHeight="false" outlineLevel="0" collapsed="false">
      <c r="A54" s="13" t="n">
        <v>17</v>
      </c>
      <c r="B54" s="37" t="n">
        <f aca="false">$B$34*(1+B$35)^$A54</f>
        <v>100</v>
      </c>
      <c r="C54" s="37" t="n">
        <f aca="false">$B$34*(1+C$35)^$A54</f>
        <v>229.201831780103</v>
      </c>
      <c r="D54" s="37" t="n">
        <f aca="false">$B$34*(1+D$35)^$A54</f>
        <v>505.447028499295</v>
      </c>
      <c r="E54" s="37" t="n">
        <f aca="false">$B$34*(1+E$35)^$A54</f>
        <v>1076.12640045672</v>
      </c>
      <c r="G54" s="13" t="n">
        <v>17</v>
      </c>
      <c r="H54" s="37" t="n">
        <f aca="false">$B$34/(1+H$35)^$G54</f>
        <v>100</v>
      </c>
      <c r="I54" s="37" t="n">
        <f aca="false">$B$34/(1+I$35)^$G54</f>
        <v>43.6296687610857</v>
      </c>
      <c r="J54" s="37" t="n">
        <f aca="false">$B$34/(1+J$35)^$G54</f>
        <v>19.7844668900135</v>
      </c>
      <c r="K54" s="37" t="n">
        <f aca="false">$B$34/(1+K$35)^$G54</f>
        <v>9.29258867337138</v>
      </c>
    </row>
    <row r="55" customFormat="false" ht="15" hidden="false" customHeight="false" outlineLevel="0" collapsed="false">
      <c r="A55" s="13" t="n">
        <v>18</v>
      </c>
      <c r="B55" s="37" t="n">
        <f aca="false">$B$34*(1+B$35)^$A55</f>
        <v>100</v>
      </c>
      <c r="C55" s="37" t="n">
        <f aca="false">$B$34*(1+C$35)^$A55</f>
        <v>240.661923369109</v>
      </c>
      <c r="D55" s="37" t="n">
        <f aca="false">$B$34*(1+D$35)^$A55</f>
        <v>555.991731349224</v>
      </c>
      <c r="E55" s="37" t="n">
        <f aca="false">$B$34*(1+E$35)^$A55</f>
        <v>1237.54536052522</v>
      </c>
      <c r="G55" s="13" t="n">
        <v>18</v>
      </c>
      <c r="H55" s="37" t="n">
        <f aca="false">$B$34/(1+H$35)^$G55</f>
        <v>100</v>
      </c>
      <c r="I55" s="37" t="n">
        <f aca="false">$B$34/(1+I$35)^$G55</f>
        <v>41.5520654867483</v>
      </c>
      <c r="J55" s="37" t="n">
        <f aca="false">$B$34/(1+J$35)^$G55</f>
        <v>17.9858789909214</v>
      </c>
      <c r="K55" s="37" t="n">
        <f aca="false">$B$34/(1+K$35)^$G55</f>
        <v>8.08051188988816</v>
      </c>
    </row>
    <row r="56" customFormat="false" ht="15" hidden="false" customHeight="false" outlineLevel="0" collapsed="false">
      <c r="A56" s="13" t="n">
        <v>19</v>
      </c>
      <c r="B56" s="37" t="n">
        <f aca="false">$B$34*(1+B$35)^$A56</f>
        <v>100</v>
      </c>
      <c r="C56" s="37" t="n">
        <f aca="false">$B$34*(1+C$35)^$A56</f>
        <v>252.695019537564</v>
      </c>
      <c r="D56" s="37" t="n">
        <f aca="false">$B$34*(1+D$35)^$A56</f>
        <v>611.590904484146</v>
      </c>
      <c r="E56" s="37" t="n">
        <f aca="false">$B$34*(1+E$35)^$A56</f>
        <v>1423.17716460401</v>
      </c>
      <c r="G56" s="13" t="n">
        <v>19</v>
      </c>
      <c r="H56" s="37" t="n">
        <f aca="false">$B$34/(1+H$35)^$G56</f>
        <v>100</v>
      </c>
      <c r="I56" s="37" t="n">
        <f aca="false">$B$34/(1+I$35)^$G56</f>
        <v>39.573395701665</v>
      </c>
      <c r="J56" s="37" t="n">
        <f aca="false">$B$34/(1+J$35)^$G56</f>
        <v>16.3507990826558</v>
      </c>
      <c r="K56" s="37" t="n">
        <f aca="false">$B$34/(1+K$35)^$G56</f>
        <v>7.02653207816362</v>
      </c>
    </row>
    <row r="57" customFormat="false" ht="15" hidden="false" customHeight="false" outlineLevel="0" collapsed="false">
      <c r="A57" s="13" t="n">
        <v>20</v>
      </c>
      <c r="B57" s="37" t="n">
        <f aca="false">$B$34*(1+B$35)^$A57</f>
        <v>100</v>
      </c>
      <c r="C57" s="37" t="n">
        <f aca="false">$B$34*(1+C$35)^$A57</f>
        <v>265.329770514442</v>
      </c>
      <c r="D57" s="37" t="n">
        <f aca="false">$B$34*(1+D$35)^$A57</f>
        <v>672.749994932561</v>
      </c>
      <c r="E57" s="37" t="n">
        <f aca="false">$B$34*(1+E$35)^$A57</f>
        <v>1636.65373929461</v>
      </c>
      <c r="G57" s="13" t="n">
        <v>20</v>
      </c>
      <c r="H57" s="37" t="n">
        <f aca="false">$B$34/(1+H$35)^$G57</f>
        <v>100</v>
      </c>
      <c r="I57" s="37" t="n">
        <f aca="false">$B$34/(1+I$35)^$G57</f>
        <v>37.6889482873</v>
      </c>
      <c r="J57" s="37" t="n">
        <f aca="false">$B$34/(1+J$35)^$G57</f>
        <v>14.8643628024143</v>
      </c>
      <c r="K57" s="37" t="n">
        <f aca="false">$B$34/(1+K$35)^$G57</f>
        <v>6.11002789405532</v>
      </c>
    </row>
    <row r="58" customFormat="false" ht="15" hidden="false" customHeight="false" outlineLevel="0" collapsed="false">
      <c r="A58" s="16" t="s">
        <v>157</v>
      </c>
    </row>
  </sheetData>
  <conditionalFormatting sqref="C7">
    <cfRule type="expression" priority="2" aboveAverage="0" equalAverage="0" bottom="0" percent="0" rank="0" text="" dxfId="0">
      <formula>$B$6="PV"</formula>
    </cfRule>
  </conditionalFormatting>
  <conditionalFormatting sqref="C8">
    <cfRule type="expression" priority="3" aboveAverage="0" equalAverage="0" bottom="0" percent="0" rank="0" text="" dxfId="0">
      <formula>$B$6="FV"</formula>
    </cfRule>
  </conditionalFormatting>
  <conditionalFormatting sqref="C9">
    <cfRule type="expression" priority="4" aboveAverage="0" equalAverage="0" bottom="0" percent="0" rank="0" text="" dxfId="0">
      <formula>$B$6="R"</formula>
    </cfRule>
  </conditionalFormatting>
  <conditionalFormatting sqref="C10">
    <cfRule type="expression" priority="5" aboveAverage="0" equalAverage="0" bottom="0" percent="0" rank="0" text="" dxfId="0">
      <formula>$B$6="T"</formula>
    </cfRule>
  </conditionalFormatting>
  <dataValidations count="1">
    <dataValidation allowBlank="false" error="Pick one of: FV, PV, R, T" errorStyle="stop" errorTitle="Solve for" operator="between" prompt="Choose the variable to solve for" promptTitle="Solve for" showDropDown="false" showErrorMessage="false" showInputMessage="false" sqref="B6" type="list">
      <formula1>"FV,PV,R,T"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77B4"/>
    <pageSetUpPr fitToPage="false"/>
  </sheetPr>
  <dimension ref="A1:F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4"/>
    <col collapsed="false" customWidth="true" hidden="false" outlineLevel="0" max="8" min="8" style="0" width="40"/>
  </cols>
  <sheetData>
    <row r="1" customFormat="false" ht="17.35" hidden="false" customHeight="false" outlineLevel="0" collapsed="false">
      <c r="A1" s="1" t="s">
        <v>158</v>
      </c>
    </row>
    <row r="2" customFormat="false" ht="15" hidden="false" customHeight="false" outlineLevel="0" collapsed="false">
      <c r="A2" s="2" t="s">
        <v>159</v>
      </c>
    </row>
    <row r="4" customFormat="false" ht="15" hidden="false" customHeight="false" outlineLevel="0" collapsed="false">
      <c r="A4" s="3" t="s">
        <v>160</v>
      </c>
      <c r="B4" s="4"/>
      <c r="C4" s="4"/>
      <c r="D4" s="4"/>
      <c r="E4" s="4"/>
      <c r="F4" s="4"/>
    </row>
    <row r="5" customFormat="false" ht="15" hidden="false" customHeight="false" outlineLevel="0" collapsed="false">
      <c r="A5" s="17" t="s">
        <v>161</v>
      </c>
      <c r="B5" s="20" t="n">
        <v>0.06</v>
      </c>
    </row>
    <row r="6" customFormat="false" ht="15" hidden="false" customHeight="false" outlineLevel="0" collapsed="false">
      <c r="A6" s="17" t="s">
        <v>162</v>
      </c>
      <c r="B6" s="38" t="n">
        <v>5</v>
      </c>
    </row>
    <row r="7" customFormat="false" ht="15" hidden="false" customHeight="false" outlineLevel="0" collapsed="false">
      <c r="A7" s="17" t="s">
        <v>163</v>
      </c>
      <c r="B7" s="39" t="s">
        <v>164</v>
      </c>
    </row>
    <row r="8" customFormat="false" ht="15" hidden="false" customHeight="false" outlineLevel="0" collapsed="false">
      <c r="A8" s="16" t="s">
        <v>165</v>
      </c>
    </row>
    <row r="10" customFormat="false" ht="15" hidden="false" customHeight="false" outlineLevel="0" collapsed="false">
      <c r="A10" s="3" t="s">
        <v>166</v>
      </c>
      <c r="B10" s="4"/>
      <c r="C10" s="4"/>
      <c r="D10" s="4"/>
      <c r="E10" s="4"/>
      <c r="F10" s="4"/>
    </row>
    <row r="11" customFormat="false" ht="15" hidden="false" customHeight="false" outlineLevel="0" collapsed="false">
      <c r="A11" s="11" t="s">
        <v>167</v>
      </c>
      <c r="B11" s="11" t="s">
        <v>168</v>
      </c>
      <c r="C11" s="11" t="s">
        <v>11</v>
      </c>
      <c r="D11" s="11" t="s">
        <v>130</v>
      </c>
    </row>
    <row r="12" customFormat="false" ht="15" hidden="false" customHeight="false" outlineLevel="0" collapsed="false">
      <c r="A12" s="17" t="s">
        <v>169</v>
      </c>
      <c r="B12" s="30" t="n">
        <f aca="false">SUM(D20:D49)</f>
        <v>542.123637855657</v>
      </c>
      <c r="C12" s="31" t="n">
        <v>542.12</v>
      </c>
      <c r="D12" s="25" t="str">
        <f aca="false">IF(ABS(B12-C12)&lt;0.01,"✓","✗")</f>
        <v>✓</v>
      </c>
    </row>
    <row r="13" customFormat="false" ht="15" hidden="false" customHeight="false" outlineLevel="0" collapsed="false">
      <c r="A13" s="17" t="s">
        <v>170</v>
      </c>
      <c r="B13" s="30" t="n">
        <f aca="false">SUM(F20:F49)</f>
        <v>725.4837184</v>
      </c>
      <c r="C13" s="31" t="n">
        <v>725.48</v>
      </c>
      <c r="D13" s="25" t="str">
        <f aca="false">IF(ABS(B13-C13)&lt;0.01,"✓","✗")</f>
        <v>✓</v>
      </c>
    </row>
    <row r="14" customFormat="false" ht="15" hidden="false" customHeight="false" outlineLevel="0" collapsed="false">
      <c r="A14" s="17" t="s">
        <v>171</v>
      </c>
      <c r="B14" s="19" t="n">
        <f aca="false">B12*(1+B5)^B6</f>
        <v>725.4837184</v>
      </c>
      <c r="D14" s="25" t="str">
        <f aca="false">IF(ABS(B14-B13)&lt;0.000001*MAX(1,ABS(B13)),"✓ same","✗")</f>
        <v>✓ same</v>
      </c>
    </row>
    <row r="15" customFormat="false" ht="15" hidden="false" customHeight="false" outlineLevel="0" collapsed="false">
      <c r="A15" s="17" t="s">
        <v>172</v>
      </c>
      <c r="B15" s="19" t="n">
        <f aca="false">NPV(B5,B20:B49)</f>
        <v>542.123637855657</v>
      </c>
      <c r="D15" s="25" t="str">
        <f aca="false">IF(ABS(B15-B12)&lt;0.000001*MAX(1,ABS(B12)),"✓ same","✗")</f>
        <v>✓ same</v>
      </c>
    </row>
    <row r="16" customFormat="false" ht="15" hidden="false" customHeight="false" outlineLevel="0" collapsed="false">
      <c r="A16" s="16" t="s">
        <v>173</v>
      </c>
    </row>
    <row r="18" customFormat="false" ht="15" hidden="false" customHeight="false" outlineLevel="0" collapsed="false">
      <c r="A18" s="3" t="s">
        <v>174</v>
      </c>
      <c r="B18" s="4"/>
      <c r="C18" s="4"/>
      <c r="D18" s="4"/>
      <c r="E18" s="4"/>
      <c r="F18" s="4"/>
    </row>
    <row r="19" customFormat="false" ht="15" hidden="false" customHeight="false" outlineLevel="0" collapsed="false">
      <c r="A19" s="11" t="s">
        <v>175</v>
      </c>
      <c r="B19" s="11" t="s">
        <v>176</v>
      </c>
      <c r="C19" s="11" t="s">
        <v>177</v>
      </c>
      <c r="D19" s="11" t="s">
        <v>178</v>
      </c>
      <c r="E19" s="11" t="s">
        <v>179</v>
      </c>
      <c r="F19" s="11" t="s">
        <v>180</v>
      </c>
    </row>
    <row r="20" customFormat="false" ht="15" hidden="false" customHeight="false" outlineLevel="0" collapsed="false">
      <c r="A20" s="13" t="n">
        <v>1</v>
      </c>
      <c r="B20" s="18" t="n">
        <v>40</v>
      </c>
      <c r="C20" s="24" t="n">
        <f aca="false">1/(1+$B$5)^A20</f>
        <v>0.943396226415094</v>
      </c>
      <c r="D20" s="19" t="n">
        <f aca="false">B20*C20</f>
        <v>37.7358490566038</v>
      </c>
      <c r="E20" s="24" t="n">
        <f aca="false">(1+$B$5)^($B$6-A20)</f>
        <v>1.26247696</v>
      </c>
      <c r="F20" s="19" t="n">
        <f aca="false">B20*E20</f>
        <v>50.4990784</v>
      </c>
    </row>
    <row r="21" customFormat="false" ht="15" hidden="false" customHeight="false" outlineLevel="0" collapsed="false">
      <c r="A21" s="13" t="n">
        <v>2</v>
      </c>
      <c r="B21" s="18" t="n">
        <v>40</v>
      </c>
      <c r="C21" s="24" t="n">
        <f aca="false">1/(1+$B$5)^A21</f>
        <v>0.88999644001424</v>
      </c>
      <c r="D21" s="19" t="n">
        <f aca="false">B21*C21</f>
        <v>35.5998576005696</v>
      </c>
      <c r="E21" s="24" t="n">
        <f aca="false">(1+$B$5)^($B$6-A21)</f>
        <v>1.191016</v>
      </c>
      <c r="F21" s="19" t="n">
        <f aca="false">B21*E21</f>
        <v>47.64064</v>
      </c>
    </row>
    <row r="22" customFormat="false" ht="15" hidden="false" customHeight="false" outlineLevel="0" collapsed="false">
      <c r="A22" s="13" t="n">
        <v>3</v>
      </c>
      <c r="B22" s="18" t="n">
        <v>40</v>
      </c>
      <c r="C22" s="24" t="n">
        <f aca="false">1/(1+$B$5)^A22</f>
        <v>0.839619283032302</v>
      </c>
      <c r="D22" s="19" t="n">
        <f aca="false">B22*C22</f>
        <v>33.5847713212921</v>
      </c>
      <c r="E22" s="24" t="n">
        <f aca="false">(1+$B$5)^($B$6-A22)</f>
        <v>1.1236</v>
      </c>
      <c r="F22" s="19" t="n">
        <f aca="false">B22*E22</f>
        <v>44.944</v>
      </c>
    </row>
    <row r="23" customFormat="false" ht="15" hidden="false" customHeight="false" outlineLevel="0" collapsed="false">
      <c r="A23" s="13" t="n">
        <v>4</v>
      </c>
      <c r="B23" s="18" t="n">
        <v>40</v>
      </c>
      <c r="C23" s="24" t="n">
        <f aca="false">1/(1+$B$5)^A23</f>
        <v>0.79209366323802</v>
      </c>
      <c r="D23" s="19" t="n">
        <f aca="false">B23*C23</f>
        <v>31.6837465295208</v>
      </c>
      <c r="E23" s="24" t="n">
        <f aca="false">(1+$B$5)^($B$6-A23)</f>
        <v>1.06</v>
      </c>
      <c r="F23" s="19" t="n">
        <f aca="false">B23*E23</f>
        <v>42.4</v>
      </c>
    </row>
    <row r="24" customFormat="false" ht="15" hidden="false" customHeight="false" outlineLevel="0" collapsed="false">
      <c r="A24" s="13" t="n">
        <v>5</v>
      </c>
      <c r="B24" s="18" t="n">
        <v>540</v>
      </c>
      <c r="C24" s="24" t="n">
        <f aca="false">1/(1+$B$5)^A24</f>
        <v>0.747258172866057</v>
      </c>
      <c r="D24" s="19" t="n">
        <f aca="false">B24*C24</f>
        <v>403.519413347671</v>
      </c>
      <c r="E24" s="24" t="n">
        <f aca="false">(1+$B$5)^($B$6-A24)</f>
        <v>1</v>
      </c>
      <c r="F24" s="19" t="n">
        <f aca="false">B24*E24</f>
        <v>540</v>
      </c>
    </row>
    <row r="25" customFormat="false" ht="15" hidden="false" customHeight="false" outlineLevel="0" collapsed="false">
      <c r="A25" s="13" t="n">
        <v>6</v>
      </c>
      <c r="B25" s="18"/>
      <c r="C25" s="24" t="n">
        <f aca="false">1/(1+$B$5)^A25</f>
        <v>0.704960540439676</v>
      </c>
      <c r="D25" s="19" t="n">
        <f aca="false">B25*C25</f>
        <v>0</v>
      </c>
      <c r="E25" s="24" t="n">
        <f aca="false">(1+$B$5)^($B$6-A25)</f>
        <v>0.943396226415094</v>
      </c>
      <c r="F25" s="19" t="n">
        <f aca="false">B25*E25</f>
        <v>0</v>
      </c>
    </row>
    <row r="26" customFormat="false" ht="15" hidden="false" customHeight="false" outlineLevel="0" collapsed="false">
      <c r="A26" s="13" t="n">
        <v>7</v>
      </c>
      <c r="B26" s="18"/>
      <c r="C26" s="24" t="n">
        <f aca="false">1/(1+$B$5)^A26</f>
        <v>0.665057113622336</v>
      </c>
      <c r="D26" s="19" t="n">
        <f aca="false">B26*C26</f>
        <v>0</v>
      </c>
      <c r="E26" s="24" t="n">
        <f aca="false">(1+$B$5)^($B$6-A26)</f>
        <v>0.88999644001424</v>
      </c>
      <c r="F26" s="19" t="n">
        <f aca="false">B26*E26</f>
        <v>0</v>
      </c>
    </row>
    <row r="27" customFormat="false" ht="15" hidden="false" customHeight="false" outlineLevel="0" collapsed="false">
      <c r="A27" s="13" t="n">
        <v>8</v>
      </c>
      <c r="B27" s="18"/>
      <c r="C27" s="24" t="n">
        <f aca="false">1/(1+$B$5)^A27</f>
        <v>0.627412371341827</v>
      </c>
      <c r="D27" s="19" t="n">
        <f aca="false">B27*C27</f>
        <v>0</v>
      </c>
      <c r="E27" s="24" t="n">
        <f aca="false">(1+$B$5)^($B$6-A27)</f>
        <v>0.839619283032302</v>
      </c>
      <c r="F27" s="19" t="n">
        <f aca="false">B27*E27</f>
        <v>0</v>
      </c>
    </row>
    <row r="28" customFormat="false" ht="15" hidden="false" customHeight="false" outlineLevel="0" collapsed="false">
      <c r="A28" s="13" t="n">
        <v>9</v>
      </c>
      <c r="B28" s="18"/>
      <c r="C28" s="24" t="n">
        <f aca="false">1/(1+$B$5)^A28</f>
        <v>0.591898463530025</v>
      </c>
      <c r="D28" s="19" t="n">
        <f aca="false">B28*C28</f>
        <v>0</v>
      </c>
      <c r="E28" s="24" t="n">
        <f aca="false">(1+$B$5)^($B$6-A28)</f>
        <v>0.79209366323802</v>
      </c>
      <c r="F28" s="19" t="n">
        <f aca="false">B28*E28</f>
        <v>0</v>
      </c>
    </row>
    <row r="29" customFormat="false" ht="15" hidden="false" customHeight="false" outlineLevel="0" collapsed="false">
      <c r="A29" s="13" t="n">
        <v>10</v>
      </c>
      <c r="B29" s="18"/>
      <c r="C29" s="24" t="n">
        <f aca="false">1/(1+$B$5)^A29</f>
        <v>0.558394776915118</v>
      </c>
      <c r="D29" s="19" t="n">
        <f aca="false">B29*C29</f>
        <v>0</v>
      </c>
      <c r="E29" s="24" t="n">
        <f aca="false">(1+$B$5)^($B$6-A29)</f>
        <v>0.747258172866057</v>
      </c>
      <c r="F29" s="19" t="n">
        <f aca="false">B29*E29</f>
        <v>0</v>
      </c>
    </row>
    <row r="30" customFormat="false" ht="15" hidden="false" customHeight="false" outlineLevel="0" collapsed="false">
      <c r="A30" s="13" t="n">
        <v>11</v>
      </c>
      <c r="B30" s="18"/>
      <c r="C30" s="24" t="n">
        <f aca="false">1/(1+$B$5)^A30</f>
        <v>0.526787525391621</v>
      </c>
      <c r="D30" s="19" t="n">
        <f aca="false">B30*C30</f>
        <v>0</v>
      </c>
      <c r="E30" s="24" t="n">
        <f aca="false">(1+$B$5)^($B$6-A30)</f>
        <v>0.704960540439676</v>
      </c>
      <c r="F30" s="19" t="n">
        <f aca="false">B30*E30</f>
        <v>0</v>
      </c>
    </row>
    <row r="31" customFormat="false" ht="15" hidden="false" customHeight="false" outlineLevel="0" collapsed="false">
      <c r="A31" s="13" t="n">
        <v>12</v>
      </c>
      <c r="B31" s="18"/>
      <c r="C31" s="24" t="n">
        <f aca="false">1/(1+$B$5)^A31</f>
        <v>0.496969363577001</v>
      </c>
      <c r="D31" s="19" t="n">
        <f aca="false">B31*C31</f>
        <v>0</v>
      </c>
      <c r="E31" s="24" t="n">
        <f aca="false">(1+$B$5)^($B$6-A31)</f>
        <v>0.665057113622336</v>
      </c>
      <c r="F31" s="19" t="n">
        <f aca="false">B31*E31</f>
        <v>0</v>
      </c>
    </row>
    <row r="32" customFormat="false" ht="15" hidden="false" customHeight="false" outlineLevel="0" collapsed="false">
      <c r="A32" s="13" t="n">
        <v>13</v>
      </c>
      <c r="B32" s="18"/>
      <c r="C32" s="24" t="n">
        <f aca="false">1/(1+$B$5)^A32</f>
        <v>0.468839022242453</v>
      </c>
      <c r="D32" s="19" t="n">
        <f aca="false">B32*C32</f>
        <v>0</v>
      </c>
      <c r="E32" s="24" t="n">
        <f aca="false">(1+$B$5)^($B$6-A32)</f>
        <v>0.627412371341827</v>
      </c>
      <c r="F32" s="19" t="n">
        <f aca="false">B32*E32</f>
        <v>0</v>
      </c>
    </row>
    <row r="33" customFormat="false" ht="15" hidden="false" customHeight="false" outlineLevel="0" collapsed="false">
      <c r="A33" s="13" t="n">
        <v>14</v>
      </c>
      <c r="B33" s="18"/>
      <c r="C33" s="24" t="n">
        <f aca="false">1/(1+$B$5)^A33</f>
        <v>0.442300964379673</v>
      </c>
      <c r="D33" s="19" t="n">
        <f aca="false">B33*C33</f>
        <v>0</v>
      </c>
      <c r="E33" s="24" t="n">
        <f aca="false">(1+$B$5)^($B$6-A33)</f>
        <v>0.591898463530025</v>
      </c>
      <c r="F33" s="19" t="n">
        <f aca="false">B33*E33</f>
        <v>0</v>
      </c>
    </row>
    <row r="34" customFormat="false" ht="15" hidden="false" customHeight="false" outlineLevel="0" collapsed="false">
      <c r="A34" s="13" t="n">
        <v>15</v>
      </c>
      <c r="B34" s="18"/>
      <c r="C34" s="24" t="n">
        <f aca="false">1/(1+$B$5)^A34</f>
        <v>0.417265060735541</v>
      </c>
      <c r="D34" s="19" t="n">
        <f aca="false">B34*C34</f>
        <v>0</v>
      </c>
      <c r="E34" s="24" t="n">
        <f aca="false">(1+$B$5)^($B$6-A34)</f>
        <v>0.558394776915118</v>
      </c>
      <c r="F34" s="19" t="n">
        <f aca="false">B34*E34</f>
        <v>0</v>
      </c>
    </row>
    <row r="35" customFormat="false" ht="15" hidden="false" customHeight="false" outlineLevel="0" collapsed="false">
      <c r="A35" s="13" t="n">
        <v>16</v>
      </c>
      <c r="B35" s="18"/>
      <c r="C35" s="24" t="n">
        <f aca="false">1/(1+$B$5)^A35</f>
        <v>0.393646283712774</v>
      </c>
      <c r="D35" s="19" t="n">
        <f aca="false">B35*C35</f>
        <v>0</v>
      </c>
      <c r="E35" s="24" t="n">
        <f aca="false">(1+$B$5)^($B$6-A35)</f>
        <v>0.526787525391621</v>
      </c>
      <c r="F35" s="19" t="n">
        <f aca="false">B35*E35</f>
        <v>0</v>
      </c>
    </row>
    <row r="36" customFormat="false" ht="15" hidden="false" customHeight="false" outlineLevel="0" collapsed="false">
      <c r="A36" s="13" t="n">
        <v>17</v>
      </c>
      <c r="B36" s="18"/>
      <c r="C36" s="24" t="n">
        <f aca="false">1/(1+$B$5)^A36</f>
        <v>0.371364418596957</v>
      </c>
      <c r="D36" s="19" t="n">
        <f aca="false">B36*C36</f>
        <v>0</v>
      </c>
      <c r="E36" s="24" t="n">
        <f aca="false">(1+$B$5)^($B$6-A36)</f>
        <v>0.496969363577001</v>
      </c>
      <c r="F36" s="19" t="n">
        <f aca="false">B36*E36</f>
        <v>0</v>
      </c>
    </row>
    <row r="37" customFormat="false" ht="15" hidden="false" customHeight="false" outlineLevel="0" collapsed="false">
      <c r="A37" s="13" t="n">
        <v>18</v>
      </c>
      <c r="B37" s="18"/>
      <c r="C37" s="24" t="n">
        <f aca="false">1/(1+$B$5)^A37</f>
        <v>0.350343791129204</v>
      </c>
      <c r="D37" s="19" t="n">
        <f aca="false">B37*C37</f>
        <v>0</v>
      </c>
      <c r="E37" s="24" t="n">
        <f aca="false">(1+$B$5)^($B$6-A37)</f>
        <v>0.468839022242453</v>
      </c>
      <c r="F37" s="19" t="n">
        <f aca="false">B37*E37</f>
        <v>0</v>
      </c>
    </row>
    <row r="38" customFormat="false" ht="15" hidden="false" customHeight="false" outlineLevel="0" collapsed="false">
      <c r="A38" s="13" t="n">
        <v>19</v>
      </c>
      <c r="B38" s="18"/>
      <c r="C38" s="24" t="n">
        <f aca="false">1/(1+$B$5)^A38</f>
        <v>0.330513010499249</v>
      </c>
      <c r="D38" s="19" t="n">
        <f aca="false">B38*C38</f>
        <v>0</v>
      </c>
      <c r="E38" s="24" t="n">
        <f aca="false">(1+$B$5)^($B$6-A38)</f>
        <v>0.442300964379673</v>
      </c>
      <c r="F38" s="19" t="n">
        <f aca="false">B38*E38</f>
        <v>0</v>
      </c>
    </row>
    <row r="39" customFormat="false" ht="15" hidden="false" customHeight="false" outlineLevel="0" collapsed="false">
      <c r="A39" s="13" t="n">
        <v>20</v>
      </c>
      <c r="B39" s="18"/>
      <c r="C39" s="24" t="n">
        <f aca="false">1/(1+$B$5)^A39</f>
        <v>0.311804726886084</v>
      </c>
      <c r="D39" s="19" t="n">
        <f aca="false">B39*C39</f>
        <v>0</v>
      </c>
      <c r="E39" s="24" t="n">
        <f aca="false">(1+$B$5)^($B$6-A39)</f>
        <v>0.417265060735541</v>
      </c>
      <c r="F39" s="19" t="n">
        <f aca="false">B39*E39</f>
        <v>0</v>
      </c>
    </row>
    <row r="40" customFormat="false" ht="15" hidden="false" customHeight="false" outlineLevel="0" collapsed="false">
      <c r="A40" s="13" t="n">
        <v>21</v>
      </c>
      <c r="B40" s="18"/>
      <c r="C40" s="24" t="n">
        <f aca="false">1/(1+$B$5)^A40</f>
        <v>0.294155402722721</v>
      </c>
      <c r="D40" s="19" t="n">
        <f aca="false">B40*C40</f>
        <v>0</v>
      </c>
      <c r="E40" s="24" t="n">
        <f aca="false">(1+$B$5)^($B$6-A40)</f>
        <v>0.393646283712774</v>
      </c>
      <c r="F40" s="19" t="n">
        <f aca="false">B40*E40</f>
        <v>0</v>
      </c>
    </row>
    <row r="41" customFormat="false" ht="15" hidden="false" customHeight="false" outlineLevel="0" collapsed="false">
      <c r="A41" s="13" t="n">
        <v>22</v>
      </c>
      <c r="B41" s="18"/>
      <c r="C41" s="24" t="n">
        <f aca="false">1/(1+$B$5)^A41</f>
        <v>0.277505096908227</v>
      </c>
      <c r="D41" s="19" t="n">
        <f aca="false">B41*C41</f>
        <v>0</v>
      </c>
      <c r="E41" s="24" t="n">
        <f aca="false">(1+$B$5)^($B$6-A41)</f>
        <v>0.371364418596957</v>
      </c>
      <c r="F41" s="19" t="n">
        <f aca="false">B41*E41</f>
        <v>0</v>
      </c>
    </row>
    <row r="42" customFormat="false" ht="15" hidden="false" customHeight="false" outlineLevel="0" collapsed="false">
      <c r="A42" s="13" t="n">
        <v>23</v>
      </c>
      <c r="B42" s="18"/>
      <c r="C42" s="24" t="n">
        <f aca="false">1/(1+$B$5)^A42</f>
        <v>0.261797261234177</v>
      </c>
      <c r="D42" s="19" t="n">
        <f aca="false">B42*C42</f>
        <v>0</v>
      </c>
      <c r="E42" s="24" t="n">
        <f aca="false">(1+$B$5)^($B$6-A42)</f>
        <v>0.350343791129204</v>
      </c>
      <c r="F42" s="19" t="n">
        <f aca="false">B42*E42</f>
        <v>0</v>
      </c>
    </row>
    <row r="43" customFormat="false" ht="15" hidden="false" customHeight="false" outlineLevel="0" collapsed="false">
      <c r="A43" s="13" t="n">
        <v>24</v>
      </c>
      <c r="B43" s="18"/>
      <c r="C43" s="24" t="n">
        <f aca="false">1/(1+$B$5)^A43</f>
        <v>0.246978548334129</v>
      </c>
      <c r="D43" s="19" t="n">
        <f aca="false">B43*C43</f>
        <v>0</v>
      </c>
      <c r="E43" s="24" t="n">
        <f aca="false">(1+$B$5)^($B$6-A43)</f>
        <v>0.330513010499249</v>
      </c>
      <c r="F43" s="19" t="n">
        <f aca="false">B43*E43</f>
        <v>0</v>
      </c>
    </row>
    <row r="44" customFormat="false" ht="15" hidden="false" customHeight="false" outlineLevel="0" collapsed="false">
      <c r="A44" s="13" t="n">
        <v>25</v>
      </c>
      <c r="B44" s="18"/>
      <c r="C44" s="24" t="n">
        <f aca="false">1/(1+$B$5)^A44</f>
        <v>0.232998630503895</v>
      </c>
      <c r="D44" s="19" t="n">
        <f aca="false">B44*C44</f>
        <v>0</v>
      </c>
      <c r="E44" s="24" t="n">
        <f aca="false">(1+$B$5)^($B$6-A44)</f>
        <v>0.311804726886084</v>
      </c>
      <c r="F44" s="19" t="n">
        <f aca="false">B44*E44</f>
        <v>0</v>
      </c>
    </row>
    <row r="45" customFormat="false" ht="15" hidden="false" customHeight="false" outlineLevel="0" collapsed="false">
      <c r="A45" s="13" t="n">
        <v>26</v>
      </c>
      <c r="B45" s="18"/>
      <c r="C45" s="24" t="n">
        <f aca="false">1/(1+$B$5)^A45</f>
        <v>0.21981002877726</v>
      </c>
      <c r="D45" s="19" t="n">
        <f aca="false">B45*C45</f>
        <v>0</v>
      </c>
      <c r="E45" s="24" t="n">
        <f aca="false">(1+$B$5)^($B$6-A45)</f>
        <v>0.294155402722721</v>
      </c>
      <c r="F45" s="19" t="n">
        <f aca="false">B45*E45</f>
        <v>0</v>
      </c>
    </row>
    <row r="46" customFormat="false" ht="15" hidden="false" customHeight="false" outlineLevel="0" collapsed="false">
      <c r="A46" s="13" t="n">
        <v>27</v>
      </c>
      <c r="B46" s="18"/>
      <c r="C46" s="24" t="n">
        <f aca="false">1/(1+$B$5)^A46</f>
        <v>0.20736795167666</v>
      </c>
      <c r="D46" s="19" t="n">
        <f aca="false">B46*C46</f>
        <v>0</v>
      </c>
      <c r="E46" s="24" t="n">
        <f aca="false">(1+$B$5)^($B$6-A46)</f>
        <v>0.277505096908227</v>
      </c>
      <c r="F46" s="19" t="n">
        <f aca="false">B46*E46</f>
        <v>0</v>
      </c>
    </row>
    <row r="47" customFormat="false" ht="15" hidden="false" customHeight="false" outlineLevel="0" collapsed="false">
      <c r="A47" s="13" t="n">
        <v>28</v>
      </c>
      <c r="B47" s="18"/>
      <c r="C47" s="24" t="n">
        <f aca="false">1/(1+$B$5)^A47</f>
        <v>0.195630143091189</v>
      </c>
      <c r="D47" s="19" t="n">
        <f aca="false">B47*C47</f>
        <v>0</v>
      </c>
      <c r="E47" s="24" t="n">
        <f aca="false">(1+$B$5)^($B$6-A47)</f>
        <v>0.261797261234177</v>
      </c>
      <c r="F47" s="19" t="n">
        <f aca="false">B47*E47</f>
        <v>0</v>
      </c>
    </row>
    <row r="48" customFormat="false" ht="15" hidden="false" customHeight="false" outlineLevel="0" collapsed="false">
      <c r="A48" s="13" t="n">
        <v>29</v>
      </c>
      <c r="B48" s="18"/>
      <c r="C48" s="24" t="n">
        <f aca="false">1/(1+$B$5)^A48</f>
        <v>0.184556738765272</v>
      </c>
      <c r="D48" s="19" t="n">
        <f aca="false">B48*C48</f>
        <v>0</v>
      </c>
      <c r="E48" s="24" t="n">
        <f aca="false">(1+$B$5)^($B$6-A48)</f>
        <v>0.246978548334129</v>
      </c>
      <c r="F48" s="19" t="n">
        <f aca="false">B48*E48</f>
        <v>0</v>
      </c>
    </row>
    <row r="49" customFormat="false" ht="15" hidden="false" customHeight="false" outlineLevel="0" collapsed="false">
      <c r="A49" s="13" t="n">
        <v>30</v>
      </c>
      <c r="B49" s="18"/>
      <c r="C49" s="24" t="n">
        <f aca="false">1/(1+$B$5)^A49</f>
        <v>0.174110130910634</v>
      </c>
      <c r="D49" s="19" t="n">
        <f aca="false">B49*C49</f>
        <v>0</v>
      </c>
      <c r="E49" s="24" t="n">
        <f aca="false">(1+$B$5)^($B$6-A49)</f>
        <v>0.232998630503895</v>
      </c>
      <c r="F49" s="19" t="n">
        <f aca="false">B49*E49</f>
        <v>0</v>
      </c>
    </row>
    <row r="50" customFormat="false" ht="15" hidden="false" customHeight="false" outlineLevel="0" collapsed="false">
      <c r="A50" s="12" t="s">
        <v>181</v>
      </c>
      <c r="B50" s="30" t="n">
        <f aca="false">SUM(B20:B49)</f>
        <v>700</v>
      </c>
      <c r="D50" s="30" t="n">
        <f aca="false">SUM(D20:D49)</f>
        <v>542.123637855657</v>
      </c>
      <c r="F50" s="30" t="n">
        <f aca="false">SUM(F20:F49)</f>
        <v>725.4837184</v>
      </c>
    </row>
    <row r="51" customFormat="false" ht="15" hidden="false" customHeight="false" outlineLevel="0" collapsed="false">
      <c r="A51" s="16" t="s">
        <v>182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A02C"/>
    <pageSetUpPr fitToPage="false"/>
  </sheetPr>
  <dimension ref="A1:J1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44"/>
    <col collapsed="false" customWidth="true" hidden="false" outlineLevel="0" max="7" min="5" style="0" width="14"/>
    <col collapsed="false" customWidth="true" hidden="false" outlineLevel="0" max="9" min="8" style="0" width="16"/>
    <col collapsed="false" customWidth="true" hidden="false" outlineLevel="0" max="10" min="10" style="0" width="9"/>
  </cols>
  <sheetData>
    <row r="1" customFormat="false" ht="17.35" hidden="false" customHeight="false" outlineLevel="0" collapsed="false">
      <c r="A1" s="1" t="s">
        <v>183</v>
      </c>
    </row>
    <row r="2" customFormat="false" ht="15" hidden="false" customHeight="false" outlineLevel="0" collapsed="false">
      <c r="A2" s="2" t="s">
        <v>184</v>
      </c>
    </row>
    <row r="4" customFormat="false" ht="15" hidden="false" customHeight="false" outlineLevel="0" collapsed="false">
      <c r="A4" s="3" t="s">
        <v>185</v>
      </c>
      <c r="B4" s="4"/>
      <c r="C4" s="4"/>
      <c r="D4" s="4"/>
    </row>
    <row r="5" customFormat="false" ht="15" hidden="false" customHeight="false" outlineLevel="0" collapsed="false">
      <c r="A5" s="11" t="s">
        <v>96</v>
      </c>
      <c r="B5" s="11" t="s">
        <v>97</v>
      </c>
      <c r="C5" s="11" t="s">
        <v>98</v>
      </c>
      <c r="D5" s="11" t="s">
        <v>99</v>
      </c>
    </row>
    <row r="6" customFormat="false" ht="15" hidden="false" customHeight="false" outlineLevel="0" collapsed="false">
      <c r="A6" s="12" t="s">
        <v>100</v>
      </c>
      <c r="B6" s="15" t="s">
        <v>126</v>
      </c>
    </row>
    <row r="7" customFormat="false" ht="15" hidden="false" customHeight="false" outlineLevel="0" collapsed="false">
      <c r="A7" s="17" t="s">
        <v>186</v>
      </c>
      <c r="B7" s="18"/>
      <c r="C7" s="19" t="n">
        <f aca="false">IF($B$6="PV",B8/B9,B7)</f>
        <v>125</v>
      </c>
      <c r="D7" s="6" t="s">
        <v>55</v>
      </c>
    </row>
    <row r="8" customFormat="false" ht="15" hidden="false" customHeight="false" outlineLevel="0" collapsed="false">
      <c r="A8" s="17" t="s">
        <v>187</v>
      </c>
      <c r="B8" s="18" t="n">
        <v>10</v>
      </c>
      <c r="C8" s="19" t="n">
        <f aca="false">IF($B$6="CF",B7*B9,B8)</f>
        <v>10</v>
      </c>
      <c r="D8" s="6" t="s">
        <v>188</v>
      </c>
    </row>
    <row r="9" customFormat="false" ht="15" hidden="false" customHeight="false" outlineLevel="0" collapsed="false">
      <c r="A9" s="17" t="s">
        <v>161</v>
      </c>
      <c r="B9" s="20" t="n">
        <v>0.08</v>
      </c>
      <c r="C9" s="21" t="n">
        <f aca="false">IF($B$6="R",B8/B7,B9)</f>
        <v>0.08</v>
      </c>
      <c r="D9" s="6" t="s">
        <v>189</v>
      </c>
    </row>
    <row r="10" customFormat="false" ht="15" hidden="false" customHeight="false" outlineLevel="0" collapsed="false">
      <c r="A10" s="12" t="s">
        <v>111</v>
      </c>
      <c r="B10" s="22" t="str">
        <f aca="false">IF($B$6="R",TEXT(C9,"0.00%"),IF($B$6="PV",TEXT(C7,"#,##0.00"),TEXT(C8,"#,##0.00")))</f>
        <v>125.00</v>
      </c>
      <c r="D10" s="23" t="str">
        <f aca="false">"Solved for "&amp;$B$6</f>
        <v>Solved for PV</v>
      </c>
    </row>
    <row r="11" customFormat="false" ht="30" hidden="false" customHeight="true" outlineLevel="0" collapsed="false">
      <c r="A11" s="6" t="s">
        <v>190</v>
      </c>
      <c r="B11" s="6"/>
      <c r="C11" s="6"/>
      <c r="D11" s="6"/>
    </row>
    <row r="13" customFormat="false" ht="15" hidden="false" customHeight="false" outlineLevel="0" collapsed="false">
      <c r="A13" s="3" t="s">
        <v>191</v>
      </c>
      <c r="B13" s="4"/>
      <c r="C13" s="4"/>
      <c r="D13" s="4"/>
    </row>
    <row r="14" customFormat="false" ht="15" hidden="false" customHeight="false" outlineLevel="0" collapsed="false">
      <c r="A14" s="11" t="s">
        <v>96</v>
      </c>
      <c r="B14" s="11" t="s">
        <v>97</v>
      </c>
      <c r="C14" s="11" t="s">
        <v>98</v>
      </c>
      <c r="D14" s="11" t="s">
        <v>99</v>
      </c>
    </row>
    <row r="15" customFormat="false" ht="15" hidden="false" customHeight="false" outlineLevel="0" collapsed="false">
      <c r="A15" s="12" t="s">
        <v>100</v>
      </c>
      <c r="B15" s="15" t="s">
        <v>126</v>
      </c>
    </row>
    <row r="16" customFormat="false" ht="15" hidden="false" customHeight="false" outlineLevel="0" collapsed="false">
      <c r="A16" s="17" t="s">
        <v>192</v>
      </c>
      <c r="B16" s="18"/>
      <c r="C16" s="19" t="n">
        <f aca="false">IF($B$15="PV",IF(B19&gt;=B18,"g must be &lt; R",B17/(B18-B19)),B16)</f>
        <v>250</v>
      </c>
      <c r="D16" s="6" t="s">
        <v>193</v>
      </c>
    </row>
    <row r="17" customFormat="false" ht="15" hidden="false" customHeight="false" outlineLevel="0" collapsed="false">
      <c r="A17" s="17" t="s">
        <v>194</v>
      </c>
      <c r="B17" s="18" t="n">
        <v>10</v>
      </c>
      <c r="C17" s="19" t="n">
        <f aca="false">IF($B$15="CF",B16*(B18-B19),B17)</f>
        <v>10</v>
      </c>
      <c r="D17" s="6" t="s">
        <v>195</v>
      </c>
    </row>
    <row r="18" customFormat="false" ht="15" hidden="false" customHeight="false" outlineLevel="0" collapsed="false">
      <c r="A18" s="17" t="s">
        <v>161</v>
      </c>
      <c r="B18" s="20" t="n">
        <v>0.08</v>
      </c>
      <c r="C18" s="21" t="n">
        <f aca="false">IF($B$15="R",B17/B16+B19,B18)</f>
        <v>0.08</v>
      </c>
      <c r="D18" s="6" t="s">
        <v>196</v>
      </c>
    </row>
    <row r="19" customFormat="false" ht="15" hidden="false" customHeight="false" outlineLevel="0" collapsed="false">
      <c r="A19" s="17" t="s">
        <v>197</v>
      </c>
      <c r="B19" s="20" t="n">
        <v>0.04</v>
      </c>
      <c r="C19" s="21" t="n">
        <f aca="false">IF($B$15="g",B18-B17/B16,B19)</f>
        <v>0.04</v>
      </c>
      <c r="D19" s="6" t="s">
        <v>198</v>
      </c>
    </row>
    <row r="20" customFormat="false" ht="15" hidden="false" customHeight="false" outlineLevel="0" collapsed="false">
      <c r="A20" s="12" t="s">
        <v>111</v>
      </c>
      <c r="B20" s="22" t="str">
        <f aca="false">IF(OR($B$15="R",$B$15="g"),TEXT(IF($B$15="R",C18,C19),"0.00%"),IF($B$15="PV",TEXT(C16,"#,##0.00"),TEXT(C17,"#,##0.00")))</f>
        <v>250.00</v>
      </c>
      <c r="D20" s="23" t="str">
        <f aca="false">"Solved for "&amp;$B$15</f>
        <v>Solved for PV</v>
      </c>
    </row>
    <row r="21" customFormat="false" ht="42" hidden="false" customHeight="true" outlineLevel="0" collapsed="false">
      <c r="A21" s="6" t="s">
        <v>199</v>
      </c>
      <c r="B21" s="6"/>
      <c r="C21" s="6"/>
      <c r="D21" s="6"/>
    </row>
    <row r="23" customFormat="false" ht="15" hidden="false" customHeight="false" outlineLevel="0" collapsed="false">
      <c r="A23" s="3" t="s">
        <v>200</v>
      </c>
      <c r="B23" s="4"/>
      <c r="C23" s="4"/>
      <c r="D23" s="4"/>
      <c r="E23" s="4"/>
      <c r="F23" s="4"/>
      <c r="G23" s="4"/>
      <c r="H23" s="4"/>
      <c r="I23" s="4"/>
      <c r="J23" s="4"/>
    </row>
    <row r="24" customFormat="false" ht="15" hidden="false" customHeight="false" outlineLevel="0" collapsed="false">
      <c r="A24" s="11" t="s">
        <v>123</v>
      </c>
      <c r="B24" s="11" t="s">
        <v>100</v>
      </c>
      <c r="C24" s="11" t="s">
        <v>124</v>
      </c>
      <c r="D24" s="11" t="s">
        <v>125</v>
      </c>
      <c r="E24" s="11" t="s">
        <v>201</v>
      </c>
      <c r="F24" s="11" t="s">
        <v>128</v>
      </c>
      <c r="G24" s="11" t="s">
        <v>202</v>
      </c>
      <c r="H24" s="11" t="s">
        <v>129</v>
      </c>
      <c r="I24" s="11" t="s">
        <v>11</v>
      </c>
      <c r="J24" s="11" t="s">
        <v>130</v>
      </c>
    </row>
    <row r="25" customFormat="false" ht="15" hidden="false" customHeight="false" outlineLevel="0" collapsed="false">
      <c r="A25" s="17" t="s">
        <v>203</v>
      </c>
      <c r="B25" s="26" t="s">
        <v>126</v>
      </c>
      <c r="C25" s="13" t="s">
        <v>204</v>
      </c>
      <c r="D25" s="6" t="s">
        <v>55</v>
      </c>
      <c r="E25" s="18" t="n">
        <v>10</v>
      </c>
      <c r="F25" s="20" t="n">
        <v>0.08</v>
      </c>
      <c r="G25" s="27" t="s">
        <v>134</v>
      </c>
      <c r="H25" s="30" t="n">
        <f aca="false">E25/F25</f>
        <v>125</v>
      </c>
      <c r="I25" s="31" t="n">
        <v>125</v>
      </c>
      <c r="J25" s="25" t="str">
        <f aca="false">IF(ABS(H25-I25)/ABS(I25)&lt;0.005,"✓","✗")</f>
        <v>✓</v>
      </c>
    </row>
    <row r="26" customFormat="false" ht="15" hidden="false" customHeight="false" outlineLevel="0" collapsed="false">
      <c r="A26" s="17" t="s">
        <v>205</v>
      </c>
      <c r="B26" s="26" t="s">
        <v>126</v>
      </c>
      <c r="C26" s="13" t="s">
        <v>206</v>
      </c>
      <c r="D26" s="6" t="s">
        <v>193</v>
      </c>
      <c r="E26" s="18" t="n">
        <v>10</v>
      </c>
      <c r="F26" s="20" t="n">
        <v>0.08</v>
      </c>
      <c r="G26" s="20" t="n">
        <v>0.04</v>
      </c>
      <c r="H26" s="30" t="n">
        <f aca="false">E26/(F26-G26)</f>
        <v>250</v>
      </c>
      <c r="I26" s="31" t="n">
        <v>250</v>
      </c>
      <c r="J26" s="25" t="str">
        <f aca="false">IF(ABS(H26-I26)/ABS(I26)&lt;0.005,"✓","✗")</f>
        <v>✓</v>
      </c>
    </row>
    <row r="27" customFormat="false" ht="15" hidden="false" customHeight="false" outlineLevel="0" collapsed="false">
      <c r="A27" s="16" t="s">
        <v>207</v>
      </c>
    </row>
    <row r="29" customFormat="false" ht="15" hidden="false" customHeight="false" outlineLevel="0" collapsed="false">
      <c r="A29" s="3" t="s">
        <v>208</v>
      </c>
      <c r="B29" s="4"/>
      <c r="C29" s="4"/>
      <c r="D29" s="4"/>
      <c r="E29" s="4"/>
      <c r="F29" s="4"/>
      <c r="G29" s="4"/>
      <c r="H29" s="4"/>
      <c r="I29" s="4"/>
    </row>
    <row r="30" customFormat="false" ht="15" hidden="false" customHeight="false" outlineLevel="0" collapsed="false">
      <c r="A30" s="17" t="s">
        <v>209</v>
      </c>
      <c r="B30" s="30" t="n">
        <f aca="false">C8/C9</f>
        <v>125</v>
      </c>
      <c r="C30" s="17" t="s">
        <v>210</v>
      </c>
      <c r="D30" s="30" t="n">
        <f aca="false">IF(C19&gt;=C18,"g must be &lt; R",C17/(C18-C19))</f>
        <v>250</v>
      </c>
    </row>
    <row r="31" customFormat="false" ht="23.85" hidden="false" customHeight="false" outlineLevel="0" collapsed="false">
      <c r="A31" s="11" t="s">
        <v>175</v>
      </c>
      <c r="B31" s="11" t="s">
        <v>211</v>
      </c>
      <c r="C31" s="11" t="s">
        <v>212</v>
      </c>
      <c r="D31" s="11" t="s">
        <v>213</v>
      </c>
      <c r="E31" s="11" t="s">
        <v>214</v>
      </c>
      <c r="F31" s="11" t="s">
        <v>215</v>
      </c>
      <c r="G31" s="11" t="s">
        <v>216</v>
      </c>
      <c r="H31" s="11" t="s">
        <v>217</v>
      </c>
      <c r="I31" s="11" t="s">
        <v>218</v>
      </c>
    </row>
    <row r="32" customFormat="false" ht="15" hidden="false" customHeight="false" outlineLevel="0" collapsed="false">
      <c r="A32" s="13" t="n">
        <v>1</v>
      </c>
      <c r="B32" s="19" t="n">
        <f aca="false">$C$8</f>
        <v>10</v>
      </c>
      <c r="C32" s="19" t="n">
        <f aca="false">B32/(1+$C$9)^A32</f>
        <v>9.25925925925926</v>
      </c>
      <c r="D32" s="19" t="n">
        <f aca="false">SUM($C$32:C32)</f>
        <v>9.25925925925926</v>
      </c>
      <c r="E32" s="19" t="n">
        <f aca="false">$C$17*(1+$C$19)^(A32-1)</f>
        <v>10</v>
      </c>
      <c r="F32" s="19" t="n">
        <f aca="false">E32/(1+$C$18)^A32</f>
        <v>9.25925925925926</v>
      </c>
      <c r="G32" s="19" t="n">
        <f aca="false">SUM($F$32:F32)</f>
        <v>9.25925925925926</v>
      </c>
      <c r="H32" s="19" t="n">
        <f aca="false">$B$30</f>
        <v>125</v>
      </c>
      <c r="I32" s="19" t="n">
        <f aca="false">$D$30</f>
        <v>250</v>
      </c>
    </row>
    <row r="33" customFormat="false" ht="15" hidden="false" customHeight="false" outlineLevel="0" collapsed="false">
      <c r="A33" s="13" t="n">
        <v>2</v>
      </c>
      <c r="B33" s="19" t="n">
        <f aca="false">$C$8</f>
        <v>10</v>
      </c>
      <c r="C33" s="19" t="n">
        <f aca="false">B33/(1+$C$9)^A33</f>
        <v>8.57338820301783</v>
      </c>
      <c r="D33" s="19" t="n">
        <f aca="false">SUM($C$32:C33)</f>
        <v>17.8326474622771</v>
      </c>
      <c r="E33" s="19" t="n">
        <f aca="false">$C$17*(1+$C$19)^(A33-1)</f>
        <v>10.4</v>
      </c>
      <c r="F33" s="19" t="n">
        <f aca="false">E33/(1+$C$18)^A33</f>
        <v>8.91632373113855</v>
      </c>
      <c r="G33" s="19" t="n">
        <f aca="false">SUM($F$32:F33)</f>
        <v>18.1755829903978</v>
      </c>
      <c r="H33" s="19" t="n">
        <f aca="false">$B$30</f>
        <v>125</v>
      </c>
      <c r="I33" s="19" t="n">
        <f aca="false">$D$30</f>
        <v>250</v>
      </c>
    </row>
    <row r="34" customFormat="false" ht="15" hidden="false" customHeight="false" outlineLevel="0" collapsed="false">
      <c r="A34" s="13" t="n">
        <v>3</v>
      </c>
      <c r="B34" s="19" t="n">
        <f aca="false">$C$8</f>
        <v>10</v>
      </c>
      <c r="C34" s="19" t="n">
        <f aca="false">B34/(1+$C$9)^A34</f>
        <v>7.9383224102017</v>
      </c>
      <c r="D34" s="19" t="n">
        <f aca="false">SUM($C$32:C34)</f>
        <v>25.7709698724788</v>
      </c>
      <c r="E34" s="19" t="n">
        <f aca="false">$C$17*(1+$C$19)^(A34-1)</f>
        <v>10.816</v>
      </c>
      <c r="F34" s="19" t="n">
        <f aca="false">E34/(1+$C$18)^A34</f>
        <v>8.58608951887416</v>
      </c>
      <c r="G34" s="19" t="n">
        <f aca="false">SUM($F$32:F34)</f>
        <v>26.761672509272</v>
      </c>
      <c r="H34" s="19" t="n">
        <f aca="false">$B$30</f>
        <v>125</v>
      </c>
      <c r="I34" s="19" t="n">
        <f aca="false">$D$30</f>
        <v>250</v>
      </c>
    </row>
    <row r="35" customFormat="false" ht="15" hidden="false" customHeight="false" outlineLevel="0" collapsed="false">
      <c r="A35" s="13" t="n">
        <v>4</v>
      </c>
      <c r="B35" s="19" t="n">
        <f aca="false">$C$8</f>
        <v>10</v>
      </c>
      <c r="C35" s="19" t="n">
        <f aca="false">B35/(1+$C$9)^A35</f>
        <v>7.35029852796453</v>
      </c>
      <c r="D35" s="19" t="n">
        <f aca="false">SUM($C$32:C35)</f>
        <v>33.1212684004433</v>
      </c>
      <c r="E35" s="19" t="n">
        <f aca="false">$C$17*(1+$C$19)^(A35-1)</f>
        <v>11.24864</v>
      </c>
      <c r="F35" s="19" t="n">
        <f aca="false">E35/(1+$C$18)^A35</f>
        <v>8.2680862033603</v>
      </c>
      <c r="G35" s="19" t="n">
        <f aca="false">SUM($F$32:F35)</f>
        <v>35.0297587126323</v>
      </c>
      <c r="H35" s="19" t="n">
        <f aca="false">$B$30</f>
        <v>125</v>
      </c>
      <c r="I35" s="19" t="n">
        <f aca="false">$D$30</f>
        <v>250</v>
      </c>
    </row>
    <row r="36" customFormat="false" ht="15" hidden="false" customHeight="false" outlineLevel="0" collapsed="false">
      <c r="A36" s="13" t="n">
        <v>5</v>
      </c>
      <c r="B36" s="19" t="n">
        <f aca="false">$C$8</f>
        <v>10</v>
      </c>
      <c r="C36" s="19" t="n">
        <f aca="false">B36/(1+$C$9)^A36</f>
        <v>6.80583197033753</v>
      </c>
      <c r="D36" s="19" t="n">
        <f aca="false">SUM($C$32:C36)</f>
        <v>39.9271003707809</v>
      </c>
      <c r="E36" s="19" t="n">
        <f aca="false">$C$17*(1+$C$19)^(A36-1)</f>
        <v>11.6985856</v>
      </c>
      <c r="F36" s="19" t="n">
        <f aca="false">E36/(1+$C$18)^A36</f>
        <v>7.96186078842103</v>
      </c>
      <c r="G36" s="19" t="n">
        <f aca="false">SUM($F$32:F36)</f>
        <v>42.9916195010533</v>
      </c>
      <c r="H36" s="19" t="n">
        <f aca="false">$B$30</f>
        <v>125</v>
      </c>
      <c r="I36" s="19" t="n">
        <f aca="false">$D$30</f>
        <v>250</v>
      </c>
    </row>
    <row r="37" customFormat="false" ht="15" hidden="false" customHeight="false" outlineLevel="0" collapsed="false">
      <c r="A37" s="13" t="n">
        <v>6</v>
      </c>
      <c r="B37" s="19" t="n">
        <f aca="false">$C$8</f>
        <v>10</v>
      </c>
      <c r="C37" s="19" t="n">
        <f aca="false">B37/(1+$C$9)^A37</f>
        <v>6.30169626883105</v>
      </c>
      <c r="D37" s="19" t="n">
        <f aca="false">SUM($C$32:C37)</f>
        <v>46.2287966396119</v>
      </c>
      <c r="E37" s="19" t="n">
        <f aca="false">$C$17*(1+$C$19)^(A37-1)</f>
        <v>12.166529024</v>
      </c>
      <c r="F37" s="19" t="n">
        <f aca="false">E37/(1+$C$18)^A37</f>
        <v>7.66697705551654</v>
      </c>
      <c r="G37" s="19" t="n">
        <f aca="false">SUM($F$32:F37)</f>
        <v>50.6585965565698</v>
      </c>
      <c r="H37" s="19" t="n">
        <f aca="false">$B$30</f>
        <v>125</v>
      </c>
      <c r="I37" s="19" t="n">
        <f aca="false">$D$30</f>
        <v>250</v>
      </c>
    </row>
    <row r="38" customFormat="false" ht="15" hidden="false" customHeight="false" outlineLevel="0" collapsed="false">
      <c r="A38" s="13" t="n">
        <v>7</v>
      </c>
      <c r="B38" s="19" t="n">
        <f aca="false">$C$8</f>
        <v>10</v>
      </c>
      <c r="C38" s="19" t="n">
        <f aca="false">B38/(1+$C$9)^A38</f>
        <v>5.83490395262134</v>
      </c>
      <c r="D38" s="19" t="n">
        <f aca="false">SUM($C$32:C38)</f>
        <v>52.0637005922332</v>
      </c>
      <c r="E38" s="19" t="n">
        <f aca="false">$C$17*(1+$C$19)^(A38-1)</f>
        <v>12.65319018496</v>
      </c>
      <c r="F38" s="19" t="n">
        <f aca="false">E38/(1+$C$18)^A38</f>
        <v>7.38301494234926</v>
      </c>
      <c r="G38" s="19" t="n">
        <f aca="false">SUM($F$32:F38)</f>
        <v>58.0416114989191</v>
      </c>
      <c r="H38" s="19" t="n">
        <f aca="false">$B$30</f>
        <v>125</v>
      </c>
      <c r="I38" s="19" t="n">
        <f aca="false">$D$30</f>
        <v>250</v>
      </c>
    </row>
    <row r="39" customFormat="false" ht="15" hidden="false" customHeight="false" outlineLevel="0" collapsed="false">
      <c r="A39" s="13" t="n">
        <v>8</v>
      </c>
      <c r="B39" s="19" t="n">
        <f aca="false">$C$8</f>
        <v>10</v>
      </c>
      <c r="C39" s="19" t="n">
        <f aca="false">B39/(1+$C$9)^A39</f>
        <v>5.40268884501976</v>
      </c>
      <c r="D39" s="19" t="n">
        <f aca="false">SUM($C$32:C39)</f>
        <v>57.466389437253</v>
      </c>
      <c r="E39" s="19" t="n">
        <f aca="false">$C$17*(1+$C$19)^(A39-1)</f>
        <v>13.1593177923584</v>
      </c>
      <c r="F39" s="19" t="n">
        <f aca="false">E39/(1+$C$18)^A39</f>
        <v>7.10956994448448</v>
      </c>
      <c r="G39" s="19" t="n">
        <f aca="false">SUM($F$32:F39)</f>
        <v>65.1511814434036</v>
      </c>
      <c r="H39" s="19" t="n">
        <f aca="false">$B$30</f>
        <v>125</v>
      </c>
      <c r="I39" s="19" t="n">
        <f aca="false">$D$30</f>
        <v>250</v>
      </c>
    </row>
    <row r="40" customFormat="false" ht="15" hidden="false" customHeight="false" outlineLevel="0" collapsed="false">
      <c r="A40" s="13" t="n">
        <v>9</v>
      </c>
      <c r="B40" s="19" t="n">
        <f aca="false">$C$8</f>
        <v>10</v>
      </c>
      <c r="C40" s="19" t="n">
        <f aca="false">B40/(1+$C$9)^A40</f>
        <v>5.00248967131459</v>
      </c>
      <c r="D40" s="19" t="n">
        <f aca="false">SUM($C$32:C40)</f>
        <v>62.4688791085676</v>
      </c>
      <c r="E40" s="19" t="n">
        <f aca="false">$C$17*(1+$C$19)^(A40-1)</f>
        <v>13.6856905040527</v>
      </c>
      <c r="F40" s="19" t="n">
        <f aca="false">E40/(1+$C$18)^A40</f>
        <v>6.8462525391332</v>
      </c>
      <c r="G40" s="19" t="n">
        <f aca="false">SUM($F$32:F40)</f>
        <v>71.9974339825368</v>
      </c>
      <c r="H40" s="19" t="n">
        <f aca="false">$B$30</f>
        <v>125</v>
      </c>
      <c r="I40" s="19" t="n">
        <f aca="false">$D$30</f>
        <v>250</v>
      </c>
    </row>
    <row r="41" customFormat="false" ht="15" hidden="false" customHeight="false" outlineLevel="0" collapsed="false">
      <c r="A41" s="13" t="n">
        <v>10</v>
      </c>
      <c r="B41" s="19" t="n">
        <f aca="false">$C$8</f>
        <v>10</v>
      </c>
      <c r="C41" s="19" t="n">
        <f aca="false">B41/(1+$C$9)^A41</f>
        <v>4.63193488084684</v>
      </c>
      <c r="D41" s="19" t="n">
        <f aca="false">SUM($C$32:C41)</f>
        <v>67.1008139894144</v>
      </c>
      <c r="E41" s="19" t="n">
        <f aca="false">$C$17*(1+$C$19)^(A41-1)</f>
        <v>14.2331181242149</v>
      </c>
      <c r="F41" s="19" t="n">
        <f aca="false">E41/(1+$C$18)^A41</f>
        <v>6.59268763027641</v>
      </c>
      <c r="G41" s="19" t="n">
        <f aca="false">SUM($F$32:F41)</f>
        <v>78.5901216128132</v>
      </c>
      <c r="H41" s="19" t="n">
        <f aca="false">$B$30</f>
        <v>125</v>
      </c>
      <c r="I41" s="19" t="n">
        <f aca="false">$D$30</f>
        <v>250</v>
      </c>
    </row>
    <row r="42" customFormat="false" ht="15" hidden="false" customHeight="false" outlineLevel="0" collapsed="false">
      <c r="A42" s="13" t="n">
        <v>11</v>
      </c>
      <c r="B42" s="19" t="n">
        <f aca="false">$C$8</f>
        <v>10</v>
      </c>
      <c r="C42" s="19" t="n">
        <f aca="false">B42/(1+$C$9)^A42</f>
        <v>4.28882859337671</v>
      </c>
      <c r="D42" s="19" t="n">
        <f aca="false">SUM($C$32:C42)</f>
        <v>71.3896425827911</v>
      </c>
      <c r="E42" s="19" t="n">
        <f aca="false">$C$17*(1+$C$19)^(A42-1)</f>
        <v>14.8024428491834</v>
      </c>
      <c r="F42" s="19" t="n">
        <f aca="false">E42/(1+$C$18)^A42</f>
        <v>6.34851401434025</v>
      </c>
      <c r="G42" s="19" t="n">
        <f aca="false">SUM($F$32:F42)</f>
        <v>84.9386356271534</v>
      </c>
      <c r="H42" s="19" t="n">
        <f aca="false">$B$30</f>
        <v>125</v>
      </c>
      <c r="I42" s="19" t="n">
        <f aca="false">$D$30</f>
        <v>250</v>
      </c>
    </row>
    <row r="43" customFormat="false" ht="15" hidden="false" customHeight="false" outlineLevel="0" collapsed="false">
      <c r="A43" s="13" t="n">
        <v>12</v>
      </c>
      <c r="B43" s="19" t="n">
        <f aca="false">$C$8</f>
        <v>10</v>
      </c>
      <c r="C43" s="19" t="n">
        <f aca="false">B43/(1+$C$9)^A43</f>
        <v>3.97113758645991</v>
      </c>
      <c r="D43" s="19" t="n">
        <f aca="false">SUM($C$32:C43)</f>
        <v>75.360780169251</v>
      </c>
      <c r="E43" s="19" t="n">
        <f aca="false">$C$17*(1+$C$19)^(A43-1)</f>
        <v>15.3945405631508</v>
      </c>
      <c r="F43" s="19" t="n">
        <f aca="false">E43/(1+$C$18)^A43</f>
        <v>6.11338386566098</v>
      </c>
      <c r="G43" s="19" t="n">
        <f aca="false">SUM($F$32:F43)</f>
        <v>91.0520194928144</v>
      </c>
      <c r="H43" s="19" t="n">
        <f aca="false">$B$30</f>
        <v>125</v>
      </c>
      <c r="I43" s="19" t="n">
        <f aca="false">$D$30</f>
        <v>250</v>
      </c>
    </row>
    <row r="44" customFormat="false" ht="15" hidden="false" customHeight="false" outlineLevel="0" collapsed="false">
      <c r="A44" s="13" t="n">
        <v>13</v>
      </c>
      <c r="B44" s="19" t="n">
        <f aca="false">$C$8</f>
        <v>10</v>
      </c>
      <c r="C44" s="19" t="n">
        <f aca="false">B44/(1+$C$9)^A44</f>
        <v>3.67697924672214</v>
      </c>
      <c r="D44" s="19" t="n">
        <f aca="false">SUM($C$32:C44)</f>
        <v>79.0377594159732</v>
      </c>
      <c r="E44" s="19" t="n">
        <f aca="false">$C$17*(1+$C$19)^(A44-1)</f>
        <v>16.0103221856768</v>
      </c>
      <c r="F44" s="19" t="n">
        <f aca="false">E44/(1+$C$18)^A44</f>
        <v>5.88696224100687</v>
      </c>
      <c r="G44" s="19" t="n">
        <f aca="false">SUM($F$32:F44)</f>
        <v>96.9389817338213</v>
      </c>
      <c r="H44" s="19" t="n">
        <f aca="false">$B$30</f>
        <v>125</v>
      </c>
      <c r="I44" s="19" t="n">
        <f aca="false">$D$30</f>
        <v>250</v>
      </c>
    </row>
    <row r="45" customFormat="false" ht="15" hidden="false" customHeight="false" outlineLevel="0" collapsed="false">
      <c r="A45" s="13" t="n">
        <v>14</v>
      </c>
      <c r="B45" s="19" t="n">
        <f aca="false">$C$8</f>
        <v>10</v>
      </c>
      <c r="C45" s="19" t="n">
        <f aca="false">B45/(1+$C$9)^A45</f>
        <v>3.40461041363161</v>
      </c>
      <c r="D45" s="19" t="n">
        <f aca="false">SUM($C$32:C45)</f>
        <v>82.4423698296048</v>
      </c>
      <c r="E45" s="19" t="n">
        <f aca="false">$C$17*(1+$C$19)^(A45-1)</f>
        <v>16.6507350731039</v>
      </c>
      <c r="F45" s="19" t="n">
        <f aca="false">E45/(1+$C$18)^A45</f>
        <v>5.66892660245106</v>
      </c>
      <c r="G45" s="19" t="n">
        <f aca="false">SUM($F$32:F45)</f>
        <v>102.607908336272</v>
      </c>
      <c r="H45" s="19" t="n">
        <f aca="false">$B$30</f>
        <v>125</v>
      </c>
      <c r="I45" s="19" t="n">
        <f aca="false">$D$30</f>
        <v>250</v>
      </c>
    </row>
    <row r="46" customFormat="false" ht="15" hidden="false" customHeight="false" outlineLevel="0" collapsed="false">
      <c r="A46" s="13" t="n">
        <v>15</v>
      </c>
      <c r="B46" s="19" t="n">
        <f aca="false">$C$8</f>
        <v>10</v>
      </c>
      <c r="C46" s="19" t="n">
        <f aca="false">B46/(1+$C$9)^A46</f>
        <v>3.1524170496589</v>
      </c>
      <c r="D46" s="19" t="n">
        <f aca="false">SUM($C$32:C46)</f>
        <v>85.5947868792637</v>
      </c>
      <c r="E46" s="19" t="n">
        <f aca="false">$C$17*(1+$C$19)^(A46-1)</f>
        <v>17.316764476028</v>
      </c>
      <c r="F46" s="19" t="n">
        <f aca="false">E46/(1+$C$18)^A46</f>
        <v>5.45896635791584</v>
      </c>
      <c r="G46" s="19" t="n">
        <f aca="false">SUM($F$32:F46)</f>
        <v>108.066874694188</v>
      </c>
      <c r="H46" s="19" t="n">
        <f aca="false">$B$30</f>
        <v>125</v>
      </c>
      <c r="I46" s="19" t="n">
        <f aca="false">$D$30</f>
        <v>250</v>
      </c>
    </row>
    <row r="47" customFormat="false" ht="15" hidden="false" customHeight="false" outlineLevel="0" collapsed="false">
      <c r="A47" s="13" t="n">
        <v>16</v>
      </c>
      <c r="B47" s="19" t="n">
        <f aca="false">$C$8</f>
        <v>10</v>
      </c>
      <c r="C47" s="19" t="n">
        <f aca="false">B47/(1+$C$9)^A47</f>
        <v>2.91890467561009</v>
      </c>
      <c r="D47" s="19" t="n">
        <f aca="false">SUM($C$32:C47)</f>
        <v>88.5136915548738</v>
      </c>
      <c r="E47" s="19" t="n">
        <f aca="false">$C$17*(1+$C$19)^(A47-1)</f>
        <v>18.0094350550692</v>
      </c>
      <c r="F47" s="19" t="n">
        <f aca="false">E47/(1+$C$18)^A47</f>
        <v>5.25678241873377</v>
      </c>
      <c r="G47" s="19" t="n">
        <f aca="false">SUM($F$32:F47)</f>
        <v>113.323657112922</v>
      </c>
      <c r="H47" s="19" t="n">
        <f aca="false">$B$30</f>
        <v>125</v>
      </c>
      <c r="I47" s="19" t="n">
        <f aca="false">$D$30</f>
        <v>250</v>
      </c>
    </row>
    <row r="48" customFormat="false" ht="15" hidden="false" customHeight="false" outlineLevel="0" collapsed="false">
      <c r="A48" s="13" t="n">
        <v>17</v>
      </c>
      <c r="B48" s="19" t="n">
        <f aca="false">$C$8</f>
        <v>10</v>
      </c>
      <c r="C48" s="19" t="n">
        <f aca="false">B48/(1+$C$9)^A48</f>
        <v>2.70268951445379</v>
      </c>
      <c r="D48" s="19" t="n">
        <f aca="false">SUM($C$32:C48)</f>
        <v>91.2163810693276</v>
      </c>
      <c r="E48" s="19" t="n">
        <f aca="false">$C$17*(1+$C$19)^(A48-1)</f>
        <v>18.7298124572719</v>
      </c>
      <c r="F48" s="19" t="n">
        <f aca="false">E48/(1+$C$18)^A48</f>
        <v>5.06208677359548</v>
      </c>
      <c r="G48" s="19" t="n">
        <f aca="false">SUM($F$32:F48)</f>
        <v>118.385743886517</v>
      </c>
      <c r="H48" s="19" t="n">
        <f aca="false">$B$30</f>
        <v>125</v>
      </c>
      <c r="I48" s="19" t="n">
        <f aca="false">$D$30</f>
        <v>250</v>
      </c>
    </row>
    <row r="49" customFormat="false" ht="15" hidden="false" customHeight="false" outlineLevel="0" collapsed="false">
      <c r="A49" s="13" t="n">
        <v>18</v>
      </c>
      <c r="B49" s="19" t="n">
        <f aca="false">$C$8</f>
        <v>10</v>
      </c>
      <c r="C49" s="19" t="n">
        <f aca="false">B49/(1+$C$9)^A49</f>
        <v>2.50249029116092</v>
      </c>
      <c r="D49" s="19" t="n">
        <f aca="false">SUM($C$32:C49)</f>
        <v>93.7188713604885</v>
      </c>
      <c r="E49" s="19" t="n">
        <f aca="false">$C$17*(1+$C$19)^(A49-1)</f>
        <v>19.4790049555628</v>
      </c>
      <c r="F49" s="19" t="n">
        <f aca="false">E49/(1+$C$18)^A49</f>
        <v>4.87460207827713</v>
      </c>
      <c r="G49" s="19" t="n">
        <f aca="false">SUM($F$32:F49)</f>
        <v>123.260345964795</v>
      </c>
      <c r="H49" s="19" t="n">
        <f aca="false">$B$30</f>
        <v>125</v>
      </c>
      <c r="I49" s="19" t="n">
        <f aca="false">$D$30</f>
        <v>250</v>
      </c>
    </row>
    <row r="50" customFormat="false" ht="15" hidden="false" customHeight="false" outlineLevel="0" collapsed="false">
      <c r="A50" s="13" t="n">
        <v>19</v>
      </c>
      <c r="B50" s="19" t="n">
        <f aca="false">$C$8</f>
        <v>10</v>
      </c>
      <c r="C50" s="19" t="n">
        <f aca="false">B50/(1+$C$9)^A50</f>
        <v>2.31712063996381</v>
      </c>
      <c r="D50" s="19" t="n">
        <f aca="false">SUM($C$32:C50)</f>
        <v>96.0359920004523</v>
      </c>
      <c r="E50" s="19" t="n">
        <f aca="false">$C$17*(1+$C$19)^(A50-1)</f>
        <v>20.2581651537853</v>
      </c>
      <c r="F50" s="19" t="n">
        <f aca="false">E50/(1+$C$18)^A50</f>
        <v>4.69406126056316</v>
      </c>
      <c r="G50" s="19" t="n">
        <f aca="false">SUM($F$32:F50)</f>
        <v>127.954407225358</v>
      </c>
      <c r="H50" s="19" t="n">
        <f aca="false">$B$30</f>
        <v>125</v>
      </c>
      <c r="I50" s="19" t="n">
        <f aca="false">$D$30</f>
        <v>250</v>
      </c>
    </row>
    <row r="51" customFormat="false" ht="15" hidden="false" customHeight="false" outlineLevel="0" collapsed="false">
      <c r="A51" s="13" t="n">
        <v>20</v>
      </c>
      <c r="B51" s="19" t="n">
        <f aca="false">$C$8</f>
        <v>10</v>
      </c>
      <c r="C51" s="19" t="n">
        <f aca="false">B51/(1+$C$9)^A51</f>
        <v>2.14548207404056</v>
      </c>
      <c r="D51" s="19" t="n">
        <f aca="false">SUM($C$32:C51)</f>
        <v>98.1814740744929</v>
      </c>
      <c r="E51" s="19" t="n">
        <f aca="false">$C$17*(1+$C$19)^(A51-1)</f>
        <v>21.0684917599367</v>
      </c>
      <c r="F51" s="19" t="n">
        <f aca="false">E51/(1+$C$18)^A51</f>
        <v>4.52020713980156</v>
      </c>
      <c r="G51" s="19" t="n">
        <f aca="false">SUM($F$32:F51)</f>
        <v>132.474614365159</v>
      </c>
      <c r="H51" s="19" t="n">
        <f aca="false">$B$30</f>
        <v>125</v>
      </c>
      <c r="I51" s="19" t="n">
        <f aca="false">$D$30</f>
        <v>250</v>
      </c>
    </row>
    <row r="52" customFormat="false" ht="15" hidden="false" customHeight="false" outlineLevel="0" collapsed="false">
      <c r="A52" s="13" t="n">
        <v>21</v>
      </c>
      <c r="B52" s="19" t="n">
        <f aca="false">$C$8</f>
        <v>10</v>
      </c>
      <c r="C52" s="19" t="n">
        <f aca="false">B52/(1+$C$9)^A52</f>
        <v>1.98655747596349</v>
      </c>
      <c r="D52" s="19" t="n">
        <f aca="false">SUM($C$32:C52)</f>
        <v>100.168031550456</v>
      </c>
      <c r="E52" s="19" t="n">
        <f aca="false">$C$17*(1+$C$19)^(A52-1)</f>
        <v>21.9112314303342</v>
      </c>
      <c r="F52" s="19" t="n">
        <f aca="false">E52/(1+$C$18)^A52</f>
        <v>4.35279206054965</v>
      </c>
      <c r="G52" s="19" t="n">
        <f aca="false">SUM($F$32:F52)</f>
        <v>136.827406425709</v>
      </c>
      <c r="H52" s="19" t="n">
        <f aca="false">$B$30</f>
        <v>125</v>
      </c>
      <c r="I52" s="19" t="n">
        <f aca="false">$D$30</f>
        <v>250</v>
      </c>
    </row>
    <row r="53" customFormat="false" ht="15" hidden="false" customHeight="false" outlineLevel="0" collapsed="false">
      <c r="A53" s="13" t="n">
        <v>22</v>
      </c>
      <c r="B53" s="19" t="n">
        <f aca="false">$C$8</f>
        <v>10</v>
      </c>
      <c r="C53" s="19" t="n">
        <f aca="false">B53/(1+$C$9)^A53</f>
        <v>1.83940507033656</v>
      </c>
      <c r="D53" s="19" t="n">
        <f aca="false">SUM($C$32:C53)</f>
        <v>102.007436620793</v>
      </c>
      <c r="E53" s="19" t="n">
        <f aca="false">$C$17*(1+$C$19)^(A53-1)</f>
        <v>22.7876806875476</v>
      </c>
      <c r="F53" s="19" t="n">
        <f aca="false">E53/(1+$C$18)^A53</f>
        <v>4.19157753978855</v>
      </c>
      <c r="G53" s="19" t="n">
        <f aca="false">SUM($F$32:F53)</f>
        <v>141.018983965497</v>
      </c>
      <c r="H53" s="19" t="n">
        <f aca="false">$B$30</f>
        <v>125</v>
      </c>
      <c r="I53" s="19" t="n">
        <f aca="false">$D$30</f>
        <v>250</v>
      </c>
    </row>
    <row r="54" customFormat="false" ht="15" hidden="false" customHeight="false" outlineLevel="0" collapsed="false">
      <c r="A54" s="13" t="n">
        <v>23</v>
      </c>
      <c r="B54" s="19" t="n">
        <f aca="false">$C$8</f>
        <v>10</v>
      </c>
      <c r="C54" s="19" t="n">
        <f aca="false">B54/(1+$C$9)^A54</f>
        <v>1.70315284290422</v>
      </c>
      <c r="D54" s="19" t="n">
        <f aca="false">SUM($C$32:C54)</f>
        <v>103.710589463697</v>
      </c>
      <c r="E54" s="19" t="n">
        <f aca="false">$C$17*(1+$C$19)^(A54-1)</f>
        <v>23.6991879150495</v>
      </c>
      <c r="F54" s="19" t="n">
        <f aca="false">E54/(1+$C$18)^A54</f>
        <v>4.03633392720379</v>
      </c>
      <c r="G54" s="19" t="n">
        <f aca="false">SUM($F$32:F54)</f>
        <v>145.055317892701</v>
      </c>
      <c r="H54" s="19" t="n">
        <f aca="false">$B$30</f>
        <v>125</v>
      </c>
      <c r="I54" s="19" t="n">
        <f aca="false">$D$30</f>
        <v>250</v>
      </c>
    </row>
    <row r="55" customFormat="false" ht="15" hidden="false" customHeight="false" outlineLevel="0" collapsed="false">
      <c r="A55" s="13" t="n">
        <v>24</v>
      </c>
      <c r="B55" s="19" t="n">
        <f aca="false">$C$8</f>
        <v>10</v>
      </c>
      <c r="C55" s="19" t="n">
        <f aca="false">B55/(1+$C$9)^A55</f>
        <v>1.57699337305947</v>
      </c>
      <c r="D55" s="19" t="n">
        <f aca="false">SUM($C$32:C55)</f>
        <v>105.287582836757</v>
      </c>
      <c r="E55" s="19" t="n">
        <f aca="false">$C$17*(1+$C$19)^(A55-1)</f>
        <v>24.6471554316515</v>
      </c>
      <c r="F55" s="19" t="n">
        <f aca="false">E55/(1+$C$18)^A55</f>
        <v>3.8868400780481</v>
      </c>
      <c r="G55" s="19" t="n">
        <f aca="false">SUM($F$32:F55)</f>
        <v>148.942157970749</v>
      </c>
      <c r="H55" s="19" t="n">
        <f aca="false">$B$30</f>
        <v>125</v>
      </c>
      <c r="I55" s="19" t="n">
        <f aca="false">$D$30</f>
        <v>250</v>
      </c>
    </row>
    <row r="56" customFormat="false" ht="15" hidden="false" customHeight="false" outlineLevel="0" collapsed="false">
      <c r="A56" s="13" t="n">
        <v>25</v>
      </c>
      <c r="B56" s="19" t="n">
        <f aca="false">$C$8</f>
        <v>10</v>
      </c>
      <c r="C56" s="19" t="n">
        <f aca="false">B56/(1+$C$9)^A56</f>
        <v>1.46017904912913</v>
      </c>
      <c r="D56" s="19" t="n">
        <f aca="false">SUM($C$32:C56)</f>
        <v>106.747761885886</v>
      </c>
      <c r="E56" s="19" t="n">
        <f aca="false">$C$17*(1+$C$19)^(A56-1)</f>
        <v>25.6330416489175</v>
      </c>
      <c r="F56" s="19" t="n">
        <f aca="false">E56/(1+$C$18)^A56</f>
        <v>3.74288303812039</v>
      </c>
      <c r="G56" s="19" t="n">
        <f aca="false">SUM($F$32:F56)</f>
        <v>152.68504100887</v>
      </c>
      <c r="H56" s="19" t="n">
        <f aca="false">$B$30</f>
        <v>125</v>
      </c>
      <c r="I56" s="19" t="n">
        <f aca="false">$D$30</f>
        <v>250</v>
      </c>
    </row>
    <row r="57" customFormat="false" ht="15" hidden="false" customHeight="false" outlineLevel="0" collapsed="false">
      <c r="A57" s="13" t="n">
        <v>26</v>
      </c>
      <c r="B57" s="19" t="n">
        <f aca="false">$C$8</f>
        <v>10</v>
      </c>
      <c r="C57" s="19" t="n">
        <f aca="false">B57/(1+$C$9)^A57</f>
        <v>1.35201763808253</v>
      </c>
      <c r="D57" s="19" t="n">
        <f aca="false">SUM($C$32:C57)</f>
        <v>108.099779523968</v>
      </c>
      <c r="E57" s="19" t="n">
        <f aca="false">$C$17*(1+$C$19)^(A57-1)</f>
        <v>26.6583633148742</v>
      </c>
      <c r="F57" s="19" t="n">
        <f aca="false">E57/(1+$C$18)^A57</f>
        <v>3.60425774041223</v>
      </c>
      <c r="G57" s="19" t="n">
        <f aca="false">SUM($F$32:F57)</f>
        <v>156.289298749282</v>
      </c>
      <c r="H57" s="19" t="n">
        <f aca="false">$B$30</f>
        <v>125</v>
      </c>
      <c r="I57" s="19" t="n">
        <f aca="false">$D$30</f>
        <v>250</v>
      </c>
    </row>
    <row r="58" customFormat="false" ht="15" hidden="false" customHeight="false" outlineLevel="0" collapsed="false">
      <c r="A58" s="13" t="n">
        <v>27</v>
      </c>
      <c r="B58" s="19" t="n">
        <f aca="false">$C$8</f>
        <v>10</v>
      </c>
      <c r="C58" s="19" t="n">
        <f aca="false">B58/(1+$C$9)^A58</f>
        <v>1.25186818340975</v>
      </c>
      <c r="D58" s="19" t="n">
        <f aca="false">SUM($C$32:C58)</f>
        <v>109.351647707378</v>
      </c>
      <c r="E58" s="19" t="n">
        <f aca="false">$C$17*(1+$C$19)^(A58-1)</f>
        <v>27.7246978474692</v>
      </c>
      <c r="F58" s="19" t="n">
        <f aca="false">E58/(1+$C$18)^A58</f>
        <v>3.47076671298955</v>
      </c>
      <c r="G58" s="19" t="n">
        <f aca="false">SUM($F$32:F58)</f>
        <v>159.760065462272</v>
      </c>
      <c r="H58" s="19" t="n">
        <f aca="false">$B$30</f>
        <v>125</v>
      </c>
      <c r="I58" s="19" t="n">
        <f aca="false">$D$30</f>
        <v>250</v>
      </c>
    </row>
    <row r="59" customFormat="false" ht="15" hidden="false" customHeight="false" outlineLevel="0" collapsed="false">
      <c r="A59" s="13" t="n">
        <v>28</v>
      </c>
      <c r="B59" s="19" t="n">
        <f aca="false">$C$8</f>
        <v>10</v>
      </c>
      <c r="C59" s="19" t="n">
        <f aca="false">B59/(1+$C$9)^A59</f>
        <v>1.15913720686088</v>
      </c>
      <c r="D59" s="19" t="n">
        <f aca="false">SUM($C$32:C59)</f>
        <v>110.510784914239</v>
      </c>
      <c r="E59" s="19" t="n">
        <f aca="false">$C$17*(1+$C$19)^(A59-1)</f>
        <v>28.833685761368</v>
      </c>
      <c r="F59" s="19" t="n">
        <f aca="false">E59/(1+$C$18)^A59</f>
        <v>3.34221979769364</v>
      </c>
      <c r="G59" s="19" t="n">
        <f aca="false">SUM($F$32:F59)</f>
        <v>163.102285259965</v>
      </c>
      <c r="H59" s="19" t="n">
        <f aca="false">$B$30</f>
        <v>125</v>
      </c>
      <c r="I59" s="19" t="n">
        <f aca="false">$D$30</f>
        <v>250</v>
      </c>
    </row>
    <row r="60" customFormat="false" ht="15" hidden="false" customHeight="false" outlineLevel="0" collapsed="false">
      <c r="A60" s="13" t="n">
        <v>29</v>
      </c>
      <c r="B60" s="19" t="n">
        <f aca="false">$C$8</f>
        <v>10</v>
      </c>
      <c r="C60" s="19" t="n">
        <f aca="false">B60/(1+$C$9)^A60</f>
        <v>1.07327519153785</v>
      </c>
      <c r="D60" s="19" t="n">
        <f aca="false">SUM($C$32:C60)</f>
        <v>111.584060105777</v>
      </c>
      <c r="E60" s="19" t="n">
        <f aca="false">$C$17*(1+$C$19)^(A60-1)</f>
        <v>29.9870331918227</v>
      </c>
      <c r="F60" s="19" t="n">
        <f aca="false">E60/(1+$C$18)^A60</f>
        <v>3.21843387926054</v>
      </c>
      <c r="G60" s="19" t="n">
        <f aca="false">SUM($F$32:F60)</f>
        <v>166.320719139226</v>
      </c>
      <c r="H60" s="19" t="n">
        <f aca="false">$B$30</f>
        <v>125</v>
      </c>
      <c r="I60" s="19" t="n">
        <f aca="false">$D$30</f>
        <v>250</v>
      </c>
    </row>
    <row r="61" customFormat="false" ht="15" hidden="false" customHeight="false" outlineLevel="0" collapsed="false">
      <c r="A61" s="13" t="n">
        <v>30</v>
      </c>
      <c r="B61" s="19" t="n">
        <f aca="false">$C$8</f>
        <v>10</v>
      </c>
      <c r="C61" s="19" t="n">
        <f aca="false">B61/(1+$C$9)^A61</f>
        <v>0.993773325498012</v>
      </c>
      <c r="D61" s="19" t="n">
        <f aca="false">SUM($C$32:C61)</f>
        <v>112.577833431275</v>
      </c>
      <c r="E61" s="19" t="n">
        <f aca="false">$C$17*(1+$C$19)^(A61-1)</f>
        <v>31.1865145194956</v>
      </c>
      <c r="F61" s="19" t="n">
        <f aca="false">E61/(1+$C$18)^A61</f>
        <v>3.09923262447312</v>
      </c>
      <c r="G61" s="19" t="n">
        <f aca="false">SUM($F$32:F61)</f>
        <v>169.419951763699</v>
      </c>
      <c r="H61" s="19" t="n">
        <f aca="false">$B$30</f>
        <v>125</v>
      </c>
      <c r="I61" s="19" t="n">
        <f aca="false">$D$30</f>
        <v>250</v>
      </c>
    </row>
    <row r="62" customFormat="false" ht="15" hidden="false" customHeight="false" outlineLevel="0" collapsed="false">
      <c r="A62" s="13" t="n">
        <v>31</v>
      </c>
      <c r="B62" s="19" t="n">
        <f aca="false">$C$8</f>
        <v>10</v>
      </c>
      <c r="C62" s="19" t="n">
        <f aca="false">B62/(1+$C$9)^A62</f>
        <v>0.920160486572233</v>
      </c>
      <c r="D62" s="19" t="n">
        <f aca="false">SUM($C$32:C62)</f>
        <v>113.497993917847</v>
      </c>
      <c r="E62" s="19" t="n">
        <f aca="false">$C$17*(1+$C$19)^(A62-1)</f>
        <v>32.4339751002754</v>
      </c>
      <c r="F62" s="19" t="n">
        <f aca="false">E62/(1+$C$18)^A62</f>
        <v>2.98444623097411</v>
      </c>
      <c r="G62" s="19" t="n">
        <f aca="false">SUM($F$32:F62)</f>
        <v>172.404397994673</v>
      </c>
      <c r="H62" s="19" t="n">
        <f aca="false">$B$30</f>
        <v>125</v>
      </c>
      <c r="I62" s="19" t="n">
        <f aca="false">$D$30</f>
        <v>250</v>
      </c>
    </row>
    <row r="63" customFormat="false" ht="15" hidden="false" customHeight="false" outlineLevel="0" collapsed="false">
      <c r="A63" s="13" t="n">
        <v>32</v>
      </c>
      <c r="B63" s="19" t="n">
        <f aca="false">$C$8</f>
        <v>10</v>
      </c>
      <c r="C63" s="19" t="n">
        <f aca="false">B63/(1+$C$9)^A63</f>
        <v>0.852000450529845</v>
      </c>
      <c r="D63" s="19" t="n">
        <f aca="false">SUM($C$32:C63)</f>
        <v>114.349994368377</v>
      </c>
      <c r="E63" s="19" t="n">
        <f aca="false">$C$17*(1+$C$19)^(A63-1)</f>
        <v>33.7313341042864</v>
      </c>
      <c r="F63" s="19" t="n">
        <f aca="false">E63/(1+$C$18)^A63</f>
        <v>2.87391118538248</v>
      </c>
      <c r="G63" s="19" t="n">
        <f aca="false">SUM($F$32:F63)</f>
        <v>175.278309180055</v>
      </c>
      <c r="H63" s="19" t="n">
        <f aca="false">$B$30</f>
        <v>125</v>
      </c>
      <c r="I63" s="19" t="n">
        <f aca="false">$D$30</f>
        <v>250</v>
      </c>
    </row>
    <row r="64" customFormat="false" ht="15" hidden="false" customHeight="false" outlineLevel="0" collapsed="false">
      <c r="A64" s="13" t="n">
        <v>33</v>
      </c>
      <c r="B64" s="19" t="n">
        <f aca="false">$C$8</f>
        <v>10</v>
      </c>
      <c r="C64" s="19" t="n">
        <f aca="false">B64/(1+$C$9)^A64</f>
        <v>0.788889306046153</v>
      </c>
      <c r="D64" s="19" t="n">
        <f aca="false">SUM($C$32:C64)</f>
        <v>115.138883674423</v>
      </c>
      <c r="E64" s="19" t="n">
        <f aca="false">$C$17*(1+$C$19)^(A64-1)</f>
        <v>35.0805874684579</v>
      </c>
      <c r="F64" s="19" t="n">
        <f aca="false">E64/(1+$C$18)^A64</f>
        <v>2.76747003036831</v>
      </c>
      <c r="G64" s="19" t="n">
        <f aca="false">SUM($F$32:F64)</f>
        <v>178.045779210424</v>
      </c>
      <c r="H64" s="19" t="n">
        <f aca="false">$B$30</f>
        <v>125</v>
      </c>
      <c r="I64" s="19" t="n">
        <f aca="false">$D$30</f>
        <v>250</v>
      </c>
    </row>
    <row r="65" customFormat="false" ht="15" hidden="false" customHeight="false" outlineLevel="0" collapsed="false">
      <c r="A65" s="13" t="n">
        <v>34</v>
      </c>
      <c r="B65" s="19" t="n">
        <f aca="false">$C$8</f>
        <v>10</v>
      </c>
      <c r="C65" s="19" t="n">
        <f aca="false">B65/(1+$C$9)^A65</f>
        <v>0.730453061153845</v>
      </c>
      <c r="D65" s="19" t="n">
        <f aca="false">SUM($C$32:C65)</f>
        <v>115.869336735577</v>
      </c>
      <c r="E65" s="19" t="n">
        <f aca="false">$C$17*(1+$C$19)^(A65-1)</f>
        <v>36.4838109671962</v>
      </c>
      <c r="F65" s="19" t="n">
        <f aca="false">E65/(1+$C$18)^A65</f>
        <v>2.66497114035467</v>
      </c>
      <c r="G65" s="19" t="n">
        <f aca="false">SUM($F$32:F65)</f>
        <v>180.710750350778</v>
      </c>
      <c r="H65" s="19" t="n">
        <f aca="false">$B$30</f>
        <v>125</v>
      </c>
      <c r="I65" s="19" t="n">
        <f aca="false">$D$30</f>
        <v>250</v>
      </c>
    </row>
    <row r="66" customFormat="false" ht="15" hidden="false" customHeight="false" outlineLevel="0" collapsed="false">
      <c r="A66" s="13" t="n">
        <v>35</v>
      </c>
      <c r="B66" s="19" t="n">
        <f aca="false">$C$8</f>
        <v>10</v>
      </c>
      <c r="C66" s="19" t="n">
        <f aca="false">B66/(1+$C$9)^A66</f>
        <v>0.676345426994301</v>
      </c>
      <c r="D66" s="19" t="n">
        <f aca="false">SUM($C$32:C66)</f>
        <v>116.545682162571</v>
      </c>
      <c r="E66" s="19" t="n">
        <f aca="false">$C$17*(1+$C$19)^(A66-1)</f>
        <v>37.9431634058841</v>
      </c>
      <c r="F66" s="19" t="n">
        <f aca="false">E66/(1+$C$18)^A66</f>
        <v>2.56626850552672</v>
      </c>
      <c r="G66" s="19" t="n">
        <f aca="false">SUM($F$32:F66)</f>
        <v>183.277018856305</v>
      </c>
      <c r="H66" s="19" t="n">
        <f aca="false">$B$30</f>
        <v>125</v>
      </c>
      <c r="I66" s="19" t="n">
        <f aca="false">$D$30</f>
        <v>250</v>
      </c>
    </row>
    <row r="67" customFormat="false" ht="15" hidden="false" customHeight="false" outlineLevel="0" collapsed="false">
      <c r="A67" s="13" t="n">
        <v>36</v>
      </c>
      <c r="B67" s="19" t="n">
        <f aca="false">$C$8</f>
        <v>10</v>
      </c>
      <c r="C67" s="19" t="n">
        <f aca="false">B67/(1+$C$9)^A67</f>
        <v>0.626245765735464</v>
      </c>
      <c r="D67" s="19" t="n">
        <f aca="false">SUM($C$32:C67)</f>
        <v>117.171927928307</v>
      </c>
      <c r="E67" s="19" t="n">
        <f aca="false">$C$17*(1+$C$19)^(A67-1)</f>
        <v>39.4608899421194</v>
      </c>
      <c r="F67" s="19" t="n">
        <f aca="false">E67/(1+$C$18)^A67</f>
        <v>2.47122152384055</v>
      </c>
      <c r="G67" s="19" t="n">
        <f aca="false">SUM($F$32:F67)</f>
        <v>185.748240380146</v>
      </c>
      <c r="H67" s="19" t="n">
        <f aca="false">$B$30</f>
        <v>125</v>
      </c>
      <c r="I67" s="19" t="n">
        <f aca="false">$D$30</f>
        <v>250</v>
      </c>
    </row>
    <row r="68" customFormat="false" ht="15" hidden="false" customHeight="false" outlineLevel="0" collapsed="false">
      <c r="A68" s="13" t="n">
        <v>37</v>
      </c>
      <c r="B68" s="19" t="n">
        <f aca="false">$C$8</f>
        <v>10</v>
      </c>
      <c r="C68" s="19" t="n">
        <f aca="false">B68/(1+$C$9)^A68</f>
        <v>0.5798571904958</v>
      </c>
      <c r="D68" s="19" t="n">
        <f aca="false">SUM($C$32:C68)</f>
        <v>117.751785118802</v>
      </c>
      <c r="E68" s="19" t="n">
        <f aca="false">$C$17*(1+$C$19)^(A68-1)</f>
        <v>41.0393255398042</v>
      </c>
      <c r="F68" s="19" t="n">
        <f aca="false">E68/(1+$C$18)^A68</f>
        <v>2.37969480073534</v>
      </c>
      <c r="G68" s="19" t="n">
        <f aca="false">SUM($F$32:F68)</f>
        <v>188.127935180881</v>
      </c>
      <c r="H68" s="19" t="n">
        <f aca="false">$B$30</f>
        <v>125</v>
      </c>
      <c r="I68" s="19" t="n">
        <f aca="false">$D$30</f>
        <v>250</v>
      </c>
    </row>
    <row r="69" customFormat="false" ht="15" hidden="false" customHeight="false" outlineLevel="0" collapsed="false">
      <c r="A69" s="13" t="n">
        <v>38</v>
      </c>
      <c r="B69" s="19" t="n">
        <f aca="false">$C$8</f>
        <v>10</v>
      </c>
      <c r="C69" s="19" t="n">
        <f aca="false">B69/(1+$C$9)^A69</f>
        <v>0.53690480601463</v>
      </c>
      <c r="D69" s="19" t="n">
        <f aca="false">SUM($C$32:C69)</f>
        <v>118.288689924817</v>
      </c>
      <c r="E69" s="19" t="n">
        <f aca="false">$C$17*(1+$C$19)^(A69-1)</f>
        <v>42.6808985613964</v>
      </c>
      <c r="F69" s="19" t="n">
        <f aca="false">E69/(1+$C$18)^A69</f>
        <v>2.29155795626366</v>
      </c>
      <c r="G69" s="19" t="n">
        <f aca="false">SUM($F$32:F69)</f>
        <v>190.419493137145</v>
      </c>
      <c r="H69" s="19" t="n">
        <f aca="false">$B$30</f>
        <v>125</v>
      </c>
      <c r="I69" s="19" t="n">
        <f aca="false">$D$30</f>
        <v>250</v>
      </c>
    </row>
    <row r="70" customFormat="false" ht="15" hidden="false" customHeight="false" outlineLevel="0" collapsed="false">
      <c r="A70" s="13" t="n">
        <v>39</v>
      </c>
      <c r="B70" s="19" t="n">
        <f aca="false">$C$8</f>
        <v>10</v>
      </c>
      <c r="C70" s="19" t="n">
        <f aca="false">B70/(1+$C$9)^A70</f>
        <v>0.497134079643176</v>
      </c>
      <c r="D70" s="19" t="n">
        <f aca="false">SUM($C$32:C70)</f>
        <v>118.78582400446</v>
      </c>
      <c r="E70" s="19" t="n">
        <f aca="false">$C$17*(1+$C$19)^(A70-1)</f>
        <v>44.3881345038522</v>
      </c>
      <c r="F70" s="19" t="n">
        <f aca="false">E70/(1+$C$18)^A70</f>
        <v>2.20668543936501</v>
      </c>
      <c r="G70" s="19" t="n">
        <f aca="false">SUM($F$32:F70)</f>
        <v>192.62617857651</v>
      </c>
      <c r="H70" s="19" t="n">
        <f aca="false">$B$30</f>
        <v>125</v>
      </c>
      <c r="I70" s="19" t="n">
        <f aca="false">$D$30</f>
        <v>250</v>
      </c>
    </row>
    <row r="71" customFormat="false" ht="15" hidden="false" customHeight="false" outlineLevel="0" collapsed="false">
      <c r="A71" s="13" t="n">
        <v>40</v>
      </c>
      <c r="B71" s="19" t="n">
        <f aca="false">$C$8</f>
        <v>10</v>
      </c>
      <c r="C71" s="19" t="n">
        <f aca="false">B71/(1+$C$9)^A71</f>
        <v>0.46030933300294</v>
      </c>
      <c r="D71" s="19" t="n">
        <f aca="false">SUM($C$32:C71)</f>
        <v>119.246133337463</v>
      </c>
      <c r="E71" s="19" t="n">
        <f aca="false">$C$17*(1+$C$19)^(A71-1)</f>
        <v>46.1636598840063</v>
      </c>
      <c r="F71" s="19" t="n">
        <f aca="false">E71/(1+$C$18)^A71</f>
        <v>2.12495634901815</v>
      </c>
      <c r="G71" s="19" t="n">
        <f aca="false">SUM($F$32:F71)</f>
        <v>194.751134925528</v>
      </c>
      <c r="H71" s="19" t="n">
        <f aca="false">$B$30</f>
        <v>125</v>
      </c>
      <c r="I71" s="19" t="n">
        <f aca="false">$D$30</f>
        <v>250</v>
      </c>
    </row>
    <row r="72" customFormat="false" ht="15" hidden="false" customHeight="false" outlineLevel="0" collapsed="false">
      <c r="A72" s="13" t="n">
        <v>41</v>
      </c>
      <c r="B72" s="19" t="n">
        <f aca="false">$C$8</f>
        <v>10</v>
      </c>
      <c r="C72" s="19" t="n">
        <f aca="false">B72/(1+$C$9)^A72</f>
        <v>0.426212345373093</v>
      </c>
      <c r="D72" s="19" t="n">
        <f aca="false">SUM($C$32:C72)</f>
        <v>119.672345682836</v>
      </c>
      <c r="E72" s="19" t="n">
        <f aca="false">$C$17*(1+$C$19)^(A72-1)</f>
        <v>48.0102062793666</v>
      </c>
      <c r="F72" s="19" t="n">
        <f aca="false">E72/(1+$C$18)^A72</f>
        <v>2.04625426201748</v>
      </c>
      <c r="G72" s="19" t="n">
        <f aca="false">SUM($F$32:F72)</f>
        <v>196.797389187545</v>
      </c>
      <c r="H72" s="19" t="n">
        <f aca="false">$B$30</f>
        <v>125</v>
      </c>
      <c r="I72" s="19" t="n">
        <f aca="false">$D$30</f>
        <v>250</v>
      </c>
    </row>
    <row r="73" customFormat="false" ht="15" hidden="false" customHeight="false" outlineLevel="0" collapsed="false">
      <c r="A73" s="13" t="n">
        <v>42</v>
      </c>
      <c r="B73" s="19" t="n">
        <f aca="false">$C$8</f>
        <v>10</v>
      </c>
      <c r="C73" s="19" t="n">
        <f aca="false">B73/(1+$C$9)^A73</f>
        <v>0.394641060530642</v>
      </c>
      <c r="D73" s="19" t="n">
        <f aca="false">SUM($C$32:C73)</f>
        <v>120.066986743367</v>
      </c>
      <c r="E73" s="19" t="n">
        <f aca="false">$C$17*(1+$C$19)^(A73-1)</f>
        <v>49.9306145305412</v>
      </c>
      <c r="F73" s="19" t="n">
        <f aca="false">E73/(1+$C$18)^A73</f>
        <v>1.97046706712795</v>
      </c>
      <c r="G73" s="19" t="n">
        <f aca="false">SUM($F$32:F73)</f>
        <v>198.767856254673</v>
      </c>
      <c r="H73" s="19" t="n">
        <f aca="false">$B$30</f>
        <v>125</v>
      </c>
      <c r="I73" s="19" t="n">
        <f aca="false">$D$30</f>
        <v>250</v>
      </c>
    </row>
    <row r="74" customFormat="false" ht="15" hidden="false" customHeight="false" outlineLevel="0" collapsed="false">
      <c r="A74" s="13" t="n">
        <v>43</v>
      </c>
      <c r="B74" s="19" t="n">
        <f aca="false">$C$8</f>
        <v>10</v>
      </c>
      <c r="C74" s="19" t="n">
        <f aca="false">B74/(1+$C$9)^A74</f>
        <v>0.365408389380224</v>
      </c>
      <c r="D74" s="19" t="n">
        <f aca="false">SUM($C$32:C74)</f>
        <v>120.432395132747</v>
      </c>
      <c r="E74" s="19" t="n">
        <f aca="false">$C$17*(1+$C$19)^(A74-1)</f>
        <v>51.9278391117629</v>
      </c>
      <c r="F74" s="19" t="n">
        <f aca="false">E74/(1+$C$18)^A74</f>
        <v>1.89748680538247</v>
      </c>
      <c r="G74" s="19" t="n">
        <f aca="false">SUM($F$32:F74)</f>
        <v>200.665343060056</v>
      </c>
      <c r="H74" s="19" t="n">
        <f aca="false">$B$30</f>
        <v>125</v>
      </c>
      <c r="I74" s="19" t="n">
        <f aca="false">$D$30</f>
        <v>250</v>
      </c>
    </row>
    <row r="75" customFormat="false" ht="15" hidden="false" customHeight="false" outlineLevel="0" collapsed="false">
      <c r="A75" s="13" t="n">
        <v>44</v>
      </c>
      <c r="B75" s="19" t="n">
        <f aca="false">$C$8</f>
        <v>10</v>
      </c>
      <c r="C75" s="19" t="n">
        <f aca="false">B75/(1+$C$9)^A75</f>
        <v>0.338341101277985</v>
      </c>
      <c r="D75" s="19" t="n">
        <f aca="false">SUM($C$32:C75)</f>
        <v>120.770736234025</v>
      </c>
      <c r="E75" s="19" t="n">
        <f aca="false">$C$17*(1+$C$19)^(A75-1)</f>
        <v>54.0049526762334</v>
      </c>
      <c r="F75" s="19" t="n">
        <f aca="false">E75/(1+$C$18)^A75</f>
        <v>1.82720951629423</v>
      </c>
      <c r="G75" s="19" t="n">
        <f aca="false">SUM($F$32:F75)</f>
        <v>202.49255257635</v>
      </c>
      <c r="H75" s="19" t="n">
        <f aca="false">$B$30</f>
        <v>125</v>
      </c>
      <c r="I75" s="19" t="n">
        <f aca="false">$D$30</f>
        <v>250</v>
      </c>
    </row>
    <row r="76" customFormat="false" ht="15" hidden="false" customHeight="false" outlineLevel="0" collapsed="false">
      <c r="A76" s="13" t="n">
        <v>45</v>
      </c>
      <c r="B76" s="19" t="n">
        <f aca="false">$C$8</f>
        <v>10</v>
      </c>
      <c r="C76" s="19" t="n">
        <f aca="false">B76/(1+$C$9)^A76</f>
        <v>0.313278797479616</v>
      </c>
      <c r="D76" s="19" t="n">
        <f aca="false">SUM($C$32:C76)</f>
        <v>121.084015031505</v>
      </c>
      <c r="E76" s="19" t="n">
        <f aca="false">$C$17*(1+$C$19)^(A76-1)</f>
        <v>56.1651507832827</v>
      </c>
      <c r="F76" s="19" t="n">
        <f aca="false">E76/(1+$C$18)^A76</f>
        <v>1.75953508976481</v>
      </c>
      <c r="G76" s="19" t="n">
        <f aca="false">SUM($F$32:F76)</f>
        <v>204.252087666115</v>
      </c>
      <c r="H76" s="19" t="n">
        <f aca="false">$B$30</f>
        <v>125</v>
      </c>
      <c r="I76" s="19" t="n">
        <f aca="false">$D$30</f>
        <v>250</v>
      </c>
    </row>
    <row r="77" customFormat="false" ht="15" hidden="false" customHeight="false" outlineLevel="0" collapsed="false">
      <c r="A77" s="13" t="n">
        <v>46</v>
      </c>
      <c r="B77" s="19" t="n">
        <f aca="false">$C$8</f>
        <v>10</v>
      </c>
      <c r="C77" s="19" t="n">
        <f aca="false">B77/(1+$C$9)^A77</f>
        <v>0.290072960629274</v>
      </c>
      <c r="D77" s="19" t="n">
        <f aca="false">SUM($C$32:C77)</f>
        <v>121.374087992134</v>
      </c>
      <c r="E77" s="19" t="n">
        <f aca="false">$C$17*(1+$C$19)^(A77-1)</f>
        <v>58.4117568146141</v>
      </c>
      <c r="F77" s="19" t="n">
        <f aca="false">E77/(1+$C$18)^A77</f>
        <v>1.69436712347722</v>
      </c>
      <c r="G77" s="19" t="n">
        <f aca="false">SUM($F$32:F77)</f>
        <v>205.946454789592</v>
      </c>
      <c r="H77" s="19" t="n">
        <f aca="false">$B$30</f>
        <v>125</v>
      </c>
      <c r="I77" s="19" t="n">
        <f aca="false">$D$30</f>
        <v>250</v>
      </c>
    </row>
    <row r="78" customFormat="false" ht="15" hidden="false" customHeight="false" outlineLevel="0" collapsed="false">
      <c r="A78" s="13" t="n">
        <v>47</v>
      </c>
      <c r="B78" s="19" t="n">
        <f aca="false">$C$8</f>
        <v>10</v>
      </c>
      <c r="C78" s="19" t="n">
        <f aca="false">B78/(1+$C$9)^A78</f>
        <v>0.268586074656735</v>
      </c>
      <c r="D78" s="19" t="n">
        <f aca="false">SUM($C$32:C78)</f>
        <v>121.642674066791</v>
      </c>
      <c r="E78" s="19" t="n">
        <f aca="false">$C$17*(1+$C$19)^(A78-1)</f>
        <v>60.7482270871986</v>
      </c>
      <c r="F78" s="19" t="n">
        <f aca="false">E78/(1+$C$18)^A78</f>
        <v>1.63161278557066</v>
      </c>
      <c r="G78" s="19" t="n">
        <f aca="false">SUM($F$32:F78)</f>
        <v>207.578067575163</v>
      </c>
      <c r="H78" s="19" t="n">
        <f aca="false">$B$30</f>
        <v>125</v>
      </c>
      <c r="I78" s="19" t="n">
        <f aca="false">$D$30</f>
        <v>250</v>
      </c>
    </row>
    <row r="79" customFormat="false" ht="15" hidden="false" customHeight="false" outlineLevel="0" collapsed="false">
      <c r="A79" s="13" t="n">
        <v>48</v>
      </c>
      <c r="B79" s="19" t="n">
        <f aca="false">$C$8</f>
        <v>10</v>
      </c>
      <c r="C79" s="19" t="n">
        <f aca="false">B79/(1+$C$9)^A79</f>
        <v>0.248690809867347</v>
      </c>
      <c r="D79" s="19" t="n">
        <f aca="false">SUM($C$32:C79)</f>
        <v>121.891364876658</v>
      </c>
      <c r="E79" s="19" t="n">
        <f aca="false">$C$17*(1+$C$19)^(A79-1)</f>
        <v>63.1781561706866</v>
      </c>
      <c r="F79" s="19" t="n">
        <f aca="false">E79/(1+$C$18)^A79</f>
        <v>1.57118268240138</v>
      </c>
      <c r="G79" s="19" t="n">
        <f aca="false">SUM($F$32:F79)</f>
        <v>209.149250257564</v>
      </c>
      <c r="H79" s="19" t="n">
        <f aca="false">$B$30</f>
        <v>125</v>
      </c>
      <c r="I79" s="19" t="n">
        <f aca="false">$D$30</f>
        <v>250</v>
      </c>
    </row>
    <row r="80" customFormat="false" ht="15" hidden="false" customHeight="false" outlineLevel="0" collapsed="false">
      <c r="A80" s="13" t="n">
        <v>49</v>
      </c>
      <c r="B80" s="19" t="n">
        <f aca="false">$C$8</f>
        <v>10</v>
      </c>
      <c r="C80" s="19" t="n">
        <f aca="false">B80/(1+$C$9)^A80</f>
        <v>0.230269268395692</v>
      </c>
      <c r="D80" s="19" t="n">
        <f aca="false">SUM($C$32:C80)</f>
        <v>122.121634145054</v>
      </c>
      <c r="E80" s="19" t="n">
        <f aca="false">$C$17*(1+$C$19)^(A80-1)</f>
        <v>65.705282417514</v>
      </c>
      <c r="F80" s="19" t="n">
        <f aca="false">E80/(1+$C$18)^A80</f>
        <v>1.51299073120133</v>
      </c>
      <c r="G80" s="19" t="n">
        <f aca="false">SUM($F$32:F80)</f>
        <v>210.662240988765</v>
      </c>
      <c r="H80" s="19" t="n">
        <f aca="false">$B$30</f>
        <v>125</v>
      </c>
      <c r="I80" s="19" t="n">
        <f aca="false">$D$30</f>
        <v>250</v>
      </c>
    </row>
    <row r="81" customFormat="false" ht="15" hidden="false" customHeight="false" outlineLevel="0" collapsed="false">
      <c r="A81" s="13" t="n">
        <v>50</v>
      </c>
      <c r="B81" s="19" t="n">
        <f aca="false">$C$8</f>
        <v>10</v>
      </c>
      <c r="C81" s="19" t="n">
        <f aca="false">B81/(1+$C$9)^A81</f>
        <v>0.213212285551566</v>
      </c>
      <c r="D81" s="19" t="n">
        <f aca="false">SUM($C$32:C81)</f>
        <v>122.334846430605</v>
      </c>
      <c r="E81" s="19" t="n">
        <f aca="false">$C$17*(1+$C$19)^(A81-1)</f>
        <v>68.3334937142146</v>
      </c>
      <c r="F81" s="19" t="n">
        <f aca="false">E81/(1+$C$18)^A81</f>
        <v>1.45695403745313</v>
      </c>
      <c r="G81" s="19" t="n">
        <f aca="false">SUM($F$32:F81)</f>
        <v>212.119195026218</v>
      </c>
      <c r="H81" s="19" t="n">
        <f aca="false">$B$30</f>
        <v>125</v>
      </c>
      <c r="I81" s="19" t="n">
        <f aca="false">$D$30</f>
        <v>250</v>
      </c>
    </row>
    <row r="82" customFormat="false" ht="15" hidden="false" customHeight="false" outlineLevel="0" collapsed="false">
      <c r="A82" s="13" t="n">
        <v>51</v>
      </c>
      <c r="B82" s="19" t="n">
        <f aca="false">$C$8</f>
        <v>10</v>
      </c>
      <c r="C82" s="19" t="n">
        <f aca="false">B82/(1+$C$9)^A82</f>
        <v>0.197418782918117</v>
      </c>
      <c r="D82" s="19" t="n">
        <f aca="false">SUM($C$32:C82)</f>
        <v>122.532265213523</v>
      </c>
      <c r="E82" s="19" t="n">
        <f aca="false">$C$17*(1+$C$19)^(A82-1)</f>
        <v>71.0668334627832</v>
      </c>
      <c r="F82" s="19" t="n">
        <f aca="false">E82/(1+$C$18)^A82</f>
        <v>1.40299277680672</v>
      </c>
      <c r="G82" s="19" t="n">
        <f aca="false">SUM($F$32:F82)</f>
        <v>213.522187803025</v>
      </c>
      <c r="H82" s="19" t="n">
        <f aca="false">$B$30</f>
        <v>125</v>
      </c>
      <c r="I82" s="19" t="n">
        <f aca="false">$D$30</f>
        <v>250</v>
      </c>
    </row>
    <row r="83" customFormat="false" ht="15" hidden="false" customHeight="false" outlineLevel="0" collapsed="false">
      <c r="A83" s="13" t="n">
        <v>52</v>
      </c>
      <c r="B83" s="19" t="n">
        <f aca="false">$C$8</f>
        <v>10</v>
      </c>
      <c r="C83" s="19" t="n">
        <f aca="false">B83/(1+$C$9)^A83</f>
        <v>0.182795169368627</v>
      </c>
      <c r="D83" s="19" t="n">
        <f aca="false">SUM($C$32:C83)</f>
        <v>122.715060382892</v>
      </c>
      <c r="E83" s="19" t="n">
        <f aca="false">$C$17*(1+$C$19)^(A83-1)</f>
        <v>73.9095068012945</v>
      </c>
      <c r="F83" s="19" t="n">
        <f aca="false">E83/(1+$C$18)^A83</f>
        <v>1.35103008136943</v>
      </c>
      <c r="G83" s="19" t="n">
        <f aca="false">SUM($F$32:F83)</f>
        <v>214.873217884395</v>
      </c>
      <c r="H83" s="19" t="n">
        <f aca="false">$B$30</f>
        <v>125</v>
      </c>
      <c r="I83" s="19" t="n">
        <f aca="false">$D$30</f>
        <v>250</v>
      </c>
    </row>
    <row r="84" customFormat="false" ht="15" hidden="false" customHeight="false" outlineLevel="0" collapsed="false">
      <c r="A84" s="13" t="n">
        <v>53</v>
      </c>
      <c r="B84" s="19" t="n">
        <f aca="false">$C$8</f>
        <v>10</v>
      </c>
      <c r="C84" s="19" t="n">
        <f aca="false">B84/(1+$C$9)^A84</f>
        <v>0.169254786452432</v>
      </c>
      <c r="D84" s="19" t="n">
        <f aca="false">SUM($C$32:C84)</f>
        <v>122.884315169344</v>
      </c>
      <c r="E84" s="19" t="n">
        <f aca="false">$C$17*(1+$C$19)^(A84-1)</f>
        <v>76.8658870733463</v>
      </c>
      <c r="F84" s="19" t="n">
        <f aca="false">E84/(1+$C$18)^A84</f>
        <v>1.3009919302076</v>
      </c>
      <c r="G84" s="19" t="n">
        <f aca="false">SUM($F$32:F84)</f>
        <v>216.174209814602</v>
      </c>
      <c r="H84" s="19" t="n">
        <f aca="false">$B$30</f>
        <v>125</v>
      </c>
      <c r="I84" s="19" t="n">
        <f aca="false">$D$30</f>
        <v>250</v>
      </c>
    </row>
    <row r="85" customFormat="false" ht="15" hidden="false" customHeight="false" outlineLevel="0" collapsed="false">
      <c r="A85" s="13" t="n">
        <v>54</v>
      </c>
      <c r="B85" s="19" t="n">
        <f aca="false">$C$8</f>
        <v>10</v>
      </c>
      <c r="C85" s="19" t="n">
        <f aca="false">B85/(1+$C$9)^A85</f>
        <v>0.156717394863363</v>
      </c>
      <c r="D85" s="19" t="n">
        <f aca="false">SUM($C$32:C85)</f>
        <v>123.041032564208</v>
      </c>
      <c r="E85" s="19" t="n">
        <f aca="false">$C$17*(1+$C$19)^(A85-1)</f>
        <v>79.9405225562801</v>
      </c>
      <c r="F85" s="19" t="n">
        <f aca="false">E85/(1+$C$18)^A85</f>
        <v>1.25280704390361</v>
      </c>
      <c r="G85" s="19" t="n">
        <f aca="false">SUM($F$32:F85)</f>
        <v>217.427016858506</v>
      </c>
      <c r="H85" s="19" t="n">
        <f aca="false">$B$30</f>
        <v>125</v>
      </c>
      <c r="I85" s="19" t="n">
        <f aca="false">$D$30</f>
        <v>250</v>
      </c>
    </row>
    <row r="86" customFormat="false" ht="15" hidden="false" customHeight="false" outlineLevel="0" collapsed="false">
      <c r="A86" s="13" t="n">
        <v>55</v>
      </c>
      <c r="B86" s="19" t="n">
        <f aca="false">$C$8</f>
        <v>10</v>
      </c>
      <c r="C86" s="19" t="n">
        <f aca="false">B86/(1+$C$9)^A86</f>
        <v>0.145108698947558</v>
      </c>
      <c r="D86" s="19" t="n">
        <f aca="false">SUM($C$32:C86)</f>
        <v>123.186141263155</v>
      </c>
      <c r="E86" s="19" t="n">
        <f aca="false">$C$17*(1+$C$19)^(A86-1)</f>
        <v>83.1381434585314</v>
      </c>
      <c r="F86" s="19" t="n">
        <f aca="false">E86/(1+$C$18)^A86</f>
        <v>1.2064067830183</v>
      </c>
      <c r="G86" s="19" t="n">
        <f aca="false">SUM($F$32:F86)</f>
        <v>218.633423641524</v>
      </c>
      <c r="H86" s="19" t="n">
        <f aca="false">$B$30</f>
        <v>125</v>
      </c>
      <c r="I86" s="19" t="n">
        <f aca="false">$D$30</f>
        <v>250</v>
      </c>
    </row>
    <row r="87" customFormat="false" ht="15" hidden="false" customHeight="false" outlineLevel="0" collapsed="false">
      <c r="A87" s="13" t="n">
        <v>56</v>
      </c>
      <c r="B87" s="19" t="n">
        <f aca="false">$C$8</f>
        <v>10</v>
      </c>
      <c r="C87" s="19" t="n">
        <f aca="false">B87/(1+$C$9)^A87</f>
        <v>0.134359906432925</v>
      </c>
      <c r="D87" s="19" t="n">
        <f aca="false">SUM($C$32:C87)</f>
        <v>123.320501169588</v>
      </c>
      <c r="E87" s="19" t="n">
        <f aca="false">$C$17*(1+$C$19)^(A87-1)</f>
        <v>86.4636691968726</v>
      </c>
      <c r="F87" s="19" t="n">
        <f aca="false">E87/(1+$C$18)^A87</f>
        <v>1.16172505031391</v>
      </c>
      <c r="G87" s="19" t="n">
        <f aca="false">SUM($F$32:F87)</f>
        <v>219.795148691838</v>
      </c>
      <c r="H87" s="19" t="n">
        <f aca="false">$B$30</f>
        <v>125</v>
      </c>
      <c r="I87" s="19" t="n">
        <f aca="false">$D$30</f>
        <v>250</v>
      </c>
    </row>
    <row r="88" customFormat="false" ht="15" hidden="false" customHeight="false" outlineLevel="0" collapsed="false">
      <c r="A88" s="13" t="n">
        <v>57</v>
      </c>
      <c r="B88" s="19" t="n">
        <f aca="false">$C$8</f>
        <v>10</v>
      </c>
      <c r="C88" s="19" t="n">
        <f aca="false">B88/(1+$C$9)^A88</f>
        <v>0.124407320771226</v>
      </c>
      <c r="D88" s="19" t="n">
        <f aca="false">SUM($C$32:C88)</f>
        <v>123.44490849036</v>
      </c>
      <c r="E88" s="19" t="n">
        <f aca="false">$C$17*(1+$C$19)^(A88-1)</f>
        <v>89.9222159647475</v>
      </c>
      <c r="F88" s="19" t="n">
        <f aca="false">E88/(1+$C$18)^A88</f>
        <v>1.11869819659858</v>
      </c>
      <c r="G88" s="19" t="n">
        <f aca="false">SUM($F$32:F88)</f>
        <v>220.913846888437</v>
      </c>
      <c r="H88" s="19" t="n">
        <f aca="false">$B$30</f>
        <v>125</v>
      </c>
      <c r="I88" s="19" t="n">
        <f aca="false">$D$30</f>
        <v>250</v>
      </c>
    </row>
    <row r="89" customFormat="false" ht="15" hidden="false" customHeight="false" outlineLevel="0" collapsed="false">
      <c r="A89" s="13" t="n">
        <v>58</v>
      </c>
      <c r="B89" s="19" t="n">
        <f aca="false">$C$8</f>
        <v>10</v>
      </c>
      <c r="C89" s="19" t="n">
        <f aca="false">B89/(1+$C$9)^A89</f>
        <v>0.115191963677061</v>
      </c>
      <c r="D89" s="19" t="n">
        <f aca="false">SUM($C$32:C89)</f>
        <v>123.560100454037</v>
      </c>
      <c r="E89" s="19" t="n">
        <f aca="false">$C$17*(1+$C$19)^(A89-1)</f>
        <v>93.5191046033374</v>
      </c>
      <c r="F89" s="19" t="n">
        <f aca="false">E89/(1+$C$18)^A89</f>
        <v>1.0772649300579</v>
      </c>
      <c r="G89" s="19" t="n">
        <f aca="false">SUM($F$32:F89)</f>
        <v>221.991111818495</v>
      </c>
      <c r="H89" s="19" t="n">
        <f aca="false">$B$30</f>
        <v>125</v>
      </c>
      <c r="I89" s="19" t="n">
        <f aca="false">$D$30</f>
        <v>250</v>
      </c>
    </row>
    <row r="90" customFormat="false" ht="15" hidden="false" customHeight="false" outlineLevel="0" collapsed="false">
      <c r="A90" s="13" t="n">
        <v>59</v>
      </c>
      <c r="B90" s="19" t="n">
        <f aca="false">$C$8</f>
        <v>10</v>
      </c>
      <c r="C90" s="19" t="n">
        <f aca="false">B90/(1+$C$9)^A90</f>
        <v>0.106659225626909</v>
      </c>
      <c r="D90" s="19" t="n">
        <f aca="false">SUM($C$32:C90)</f>
        <v>123.666759679664</v>
      </c>
      <c r="E90" s="19" t="n">
        <f aca="false">$C$17*(1+$C$19)^(A90-1)</f>
        <v>97.2598687874709</v>
      </c>
      <c r="F90" s="19" t="n">
        <f aca="false">E90/(1+$C$18)^A90</f>
        <v>1.03736622894464</v>
      </c>
      <c r="G90" s="19" t="n">
        <f aca="false">SUM($F$32:F90)</f>
        <v>223.028478047439</v>
      </c>
      <c r="H90" s="19" t="n">
        <f aca="false">$B$30</f>
        <v>125</v>
      </c>
      <c r="I90" s="19" t="n">
        <f aca="false">$D$30</f>
        <v>250</v>
      </c>
    </row>
    <row r="91" customFormat="false" ht="15" hidden="false" customHeight="false" outlineLevel="0" collapsed="false">
      <c r="A91" s="13" t="n">
        <v>60</v>
      </c>
      <c r="B91" s="19" t="n">
        <f aca="false">$C$8</f>
        <v>10</v>
      </c>
      <c r="C91" s="19" t="n">
        <f aca="false">B91/(1+$C$9)^A91</f>
        <v>0.0987585422471377</v>
      </c>
      <c r="D91" s="19" t="n">
        <f aca="false">SUM($C$32:C91)</f>
        <v>123.765518221911</v>
      </c>
      <c r="E91" s="19" t="n">
        <f aca="false">$C$17*(1+$C$19)^(A91-1)</f>
        <v>101.15026353897</v>
      </c>
      <c r="F91" s="19" t="n">
        <f aca="false">E91/(1+$C$18)^A91</f>
        <v>0.998945257502246</v>
      </c>
      <c r="G91" s="19" t="n">
        <f aca="false">SUM($F$32:F91)</f>
        <v>224.027423304941</v>
      </c>
      <c r="H91" s="19" t="n">
        <f aca="false">$B$30</f>
        <v>125</v>
      </c>
      <c r="I91" s="19" t="n">
        <f aca="false">$D$30</f>
        <v>250</v>
      </c>
    </row>
    <row r="92" customFormat="false" ht="15" hidden="false" customHeight="false" outlineLevel="0" collapsed="false">
      <c r="A92" s="13" t="n">
        <v>61</v>
      </c>
      <c r="B92" s="19" t="n">
        <f aca="false">$C$8</f>
        <v>10</v>
      </c>
      <c r="C92" s="19" t="n">
        <f aca="false">B92/(1+$C$9)^A92</f>
        <v>0.0914430946732757</v>
      </c>
      <c r="D92" s="19" t="n">
        <f aca="false">SUM($C$32:C92)</f>
        <v>123.856961316584</v>
      </c>
      <c r="E92" s="19" t="n">
        <f aca="false">$C$17*(1+$C$19)^(A92-1)</f>
        <v>105.196274080529</v>
      </c>
      <c r="F92" s="19" t="n">
        <f aca="false">E92/(1+$C$18)^A92</f>
        <v>0.961947285002163</v>
      </c>
      <c r="G92" s="19" t="n">
        <f aca="false">SUM($F$32:F92)</f>
        <v>224.989370589944</v>
      </c>
      <c r="H92" s="19" t="n">
        <f aca="false">$B$30</f>
        <v>125</v>
      </c>
      <c r="I92" s="19" t="n">
        <f aca="false">$D$30</f>
        <v>250</v>
      </c>
    </row>
    <row r="93" customFormat="false" ht="15" hidden="false" customHeight="false" outlineLevel="0" collapsed="false">
      <c r="A93" s="13" t="n">
        <v>62</v>
      </c>
      <c r="B93" s="19" t="n">
        <f aca="false">$C$8</f>
        <v>10</v>
      </c>
      <c r="C93" s="19" t="n">
        <f aca="false">B93/(1+$C$9)^A93</f>
        <v>0.0846695321048849</v>
      </c>
      <c r="D93" s="19" t="n">
        <f aca="false">SUM($C$32:C93)</f>
        <v>123.941630848689</v>
      </c>
      <c r="E93" s="19" t="n">
        <f aca="false">$C$17*(1+$C$19)^(A93-1)</f>
        <v>109.40412504375</v>
      </c>
      <c r="F93" s="19" t="n">
        <f aca="false">E93/(1+$C$18)^A93</f>
        <v>0.92631960777986</v>
      </c>
      <c r="G93" s="19" t="n">
        <f aca="false">SUM($F$32:F93)</f>
        <v>225.915690197723</v>
      </c>
      <c r="H93" s="19" t="n">
        <f aca="false">$B$30</f>
        <v>125</v>
      </c>
      <c r="I93" s="19" t="n">
        <f aca="false">$D$30</f>
        <v>250</v>
      </c>
    </row>
    <row r="94" customFormat="false" ht="15" hidden="false" customHeight="false" outlineLevel="0" collapsed="false">
      <c r="A94" s="13" t="n">
        <v>63</v>
      </c>
      <c r="B94" s="19" t="n">
        <f aca="false">$C$8</f>
        <v>10</v>
      </c>
      <c r="C94" s="19" t="n">
        <f aca="false">B94/(1+$C$9)^A94</f>
        <v>0.0783977149119304</v>
      </c>
      <c r="D94" s="19" t="n">
        <f aca="false">SUM($C$32:C94)</f>
        <v>124.020028563601</v>
      </c>
      <c r="E94" s="19" t="n">
        <f aca="false">$C$17*(1+$C$19)^(A94-1)</f>
        <v>113.7802900455</v>
      </c>
      <c r="F94" s="19" t="n">
        <f aca="false">E94/(1+$C$18)^A94</f>
        <v>0.892011474158384</v>
      </c>
      <c r="G94" s="19" t="n">
        <f aca="false">SUM($F$32:F94)</f>
        <v>226.807701671882</v>
      </c>
      <c r="H94" s="19" t="n">
        <f aca="false">$B$30</f>
        <v>125</v>
      </c>
      <c r="I94" s="19" t="n">
        <f aca="false">$D$30</f>
        <v>250</v>
      </c>
    </row>
    <row r="95" customFormat="false" ht="15" hidden="false" customHeight="false" outlineLevel="0" collapsed="false">
      <c r="A95" s="13" t="n">
        <v>64</v>
      </c>
      <c r="B95" s="19" t="n">
        <f aca="false">$C$8</f>
        <v>10</v>
      </c>
      <c r="C95" s="19" t="n">
        <f aca="false">B95/(1+$C$9)^A95</f>
        <v>0.072590476770306</v>
      </c>
      <c r="D95" s="19" t="n">
        <f aca="false">SUM($C$32:C95)</f>
        <v>124.092619040371</v>
      </c>
      <c r="E95" s="19" t="n">
        <f aca="false">$C$17*(1+$C$19)^(A95-1)</f>
        <v>118.33150164732</v>
      </c>
      <c r="F95" s="19" t="n">
        <f aca="false">E95/(1+$C$18)^A95</f>
        <v>0.858974012152518</v>
      </c>
      <c r="G95" s="19" t="n">
        <f aca="false">SUM($F$32:F95)</f>
        <v>227.666675684034</v>
      </c>
      <c r="H95" s="19" t="n">
        <f aca="false">$B$30</f>
        <v>125</v>
      </c>
      <c r="I95" s="19" t="n">
        <f aca="false">$D$30</f>
        <v>250</v>
      </c>
    </row>
    <row r="96" customFormat="false" ht="15" hidden="false" customHeight="false" outlineLevel="0" collapsed="false">
      <c r="A96" s="13" t="n">
        <v>65</v>
      </c>
      <c r="B96" s="19" t="n">
        <f aca="false">$C$8</f>
        <v>10</v>
      </c>
      <c r="C96" s="19" t="n">
        <f aca="false">B96/(1+$C$9)^A96</f>
        <v>0.0672134044169499</v>
      </c>
      <c r="D96" s="19" t="n">
        <f aca="false">SUM($C$32:C96)</f>
        <v>124.159832444788</v>
      </c>
      <c r="E96" s="19" t="n">
        <f aca="false">$C$17*(1+$C$19)^(A96-1)</f>
        <v>123.064761713212</v>
      </c>
      <c r="F96" s="19" t="n">
        <f aca="false">E96/(1+$C$18)^A96</f>
        <v>0.827160159850573</v>
      </c>
      <c r="G96" s="19" t="n">
        <f aca="false">SUM($F$32:F96)</f>
        <v>228.493835843885</v>
      </c>
      <c r="H96" s="19" t="n">
        <f aca="false">$B$30</f>
        <v>125</v>
      </c>
      <c r="I96" s="19" t="n">
        <f aca="false">$D$30</f>
        <v>250</v>
      </c>
    </row>
    <row r="97" customFormat="false" ht="15" hidden="false" customHeight="false" outlineLevel="0" collapsed="false">
      <c r="A97" s="13" t="n">
        <v>66</v>
      </c>
      <c r="B97" s="19" t="n">
        <f aca="false">$C$8</f>
        <v>10</v>
      </c>
      <c r="C97" s="19" t="n">
        <f aca="false">B97/(1+$C$9)^A97</f>
        <v>0.0622346337193981</v>
      </c>
      <c r="D97" s="19" t="n">
        <f aca="false">SUM($C$32:C97)</f>
        <v>124.222067078507</v>
      </c>
      <c r="E97" s="19" t="n">
        <f aca="false">$C$17*(1+$C$19)^(A97-1)</f>
        <v>127.987352181741</v>
      </c>
      <c r="F97" s="19" t="n">
        <f aca="false">E97/(1+$C$18)^A97</f>
        <v>0.796524598374626</v>
      </c>
      <c r="G97" s="19" t="n">
        <f aca="false">SUM($F$32:F97)</f>
        <v>229.29036044226</v>
      </c>
      <c r="H97" s="19" t="n">
        <f aca="false">$B$30</f>
        <v>125</v>
      </c>
      <c r="I97" s="19" t="n">
        <f aca="false">$D$30</f>
        <v>250</v>
      </c>
    </row>
    <row r="98" customFormat="false" ht="15" hidden="false" customHeight="false" outlineLevel="0" collapsed="false">
      <c r="A98" s="13" t="n">
        <v>67</v>
      </c>
      <c r="B98" s="19" t="n">
        <f aca="false">$C$8</f>
        <v>10</v>
      </c>
      <c r="C98" s="19" t="n">
        <f aca="false">B98/(1+$C$9)^A98</f>
        <v>0.0576246608512945</v>
      </c>
      <c r="D98" s="19" t="n">
        <f aca="false">SUM($C$32:C98)</f>
        <v>124.279691739359</v>
      </c>
      <c r="E98" s="19" t="n">
        <f aca="false">$C$17*(1+$C$19)^(A98-1)</f>
        <v>133.106846269011</v>
      </c>
      <c r="F98" s="19" t="n">
        <f aca="false">E98/(1+$C$18)^A98</f>
        <v>0.767023687323714</v>
      </c>
      <c r="G98" s="19" t="n">
        <f aca="false">SUM($F$32:F98)</f>
        <v>230.057384129583</v>
      </c>
      <c r="H98" s="19" t="n">
        <f aca="false">$B$30</f>
        <v>125</v>
      </c>
      <c r="I98" s="19" t="n">
        <f aca="false">$D$30</f>
        <v>250</v>
      </c>
    </row>
    <row r="99" customFormat="false" ht="15" hidden="false" customHeight="false" outlineLevel="0" collapsed="false">
      <c r="A99" s="13" t="n">
        <v>68</v>
      </c>
      <c r="B99" s="19" t="n">
        <f aca="false">$C$8</f>
        <v>10</v>
      </c>
      <c r="C99" s="19" t="n">
        <f aca="false">B99/(1+$C$9)^A99</f>
        <v>0.0533561674549023</v>
      </c>
      <c r="D99" s="19" t="n">
        <f aca="false">SUM($C$32:C99)</f>
        <v>124.333047906814</v>
      </c>
      <c r="E99" s="19" t="n">
        <f aca="false">$C$17*(1+$C$19)^(A99-1)</f>
        <v>138.431120119771</v>
      </c>
      <c r="F99" s="19" t="n">
        <f aca="false">E99/(1+$C$18)^A99</f>
        <v>0.73861540260802</v>
      </c>
      <c r="G99" s="19" t="n">
        <f aca="false">SUM($F$32:F99)</f>
        <v>230.795999532191</v>
      </c>
      <c r="H99" s="19" t="n">
        <f aca="false">$B$30</f>
        <v>125</v>
      </c>
      <c r="I99" s="19" t="n">
        <f aca="false">$D$30</f>
        <v>250</v>
      </c>
    </row>
    <row r="100" customFormat="false" ht="15" hidden="false" customHeight="false" outlineLevel="0" collapsed="false">
      <c r="A100" s="13" t="n">
        <v>69</v>
      </c>
      <c r="B100" s="19" t="n">
        <f aca="false">$C$8</f>
        <v>10</v>
      </c>
      <c r="C100" s="19" t="n">
        <f aca="false">B100/(1+$C$9)^A100</f>
        <v>0.0494038587545392</v>
      </c>
      <c r="D100" s="19" t="n">
        <f aca="false">SUM($C$32:C100)</f>
        <v>124.382451765568</v>
      </c>
      <c r="E100" s="19" t="n">
        <f aca="false">$C$17*(1+$C$19)^(A100-1)</f>
        <v>143.968364924562</v>
      </c>
      <c r="F100" s="19" t="n">
        <f aca="false">E100/(1+$C$18)^A100</f>
        <v>0.711259276585501</v>
      </c>
      <c r="G100" s="19" t="n">
        <f aca="false">SUM($F$32:F100)</f>
        <v>231.507258808777</v>
      </c>
      <c r="H100" s="19" t="n">
        <f aca="false">$B$30</f>
        <v>125</v>
      </c>
      <c r="I100" s="19" t="n">
        <f aca="false">$D$30</f>
        <v>250</v>
      </c>
    </row>
    <row r="101" customFormat="false" ht="15" hidden="false" customHeight="false" outlineLevel="0" collapsed="false">
      <c r="A101" s="13" t="n">
        <v>70</v>
      </c>
      <c r="B101" s="19" t="n">
        <f aca="false">$C$8</f>
        <v>10</v>
      </c>
      <c r="C101" s="19" t="n">
        <f aca="false">B101/(1+$C$9)^A101</f>
        <v>0.0457443136616104</v>
      </c>
      <c r="D101" s="19" t="n">
        <f aca="false">SUM($C$32:C101)</f>
        <v>124.42819607923</v>
      </c>
      <c r="E101" s="19" t="n">
        <f aca="false">$C$17*(1+$C$19)^(A101-1)</f>
        <v>149.727099521544</v>
      </c>
      <c r="F101" s="19" t="n">
        <f aca="false">E101/(1+$C$18)^A101</f>
        <v>0.684916340415668</v>
      </c>
      <c r="G101" s="19" t="n">
        <f aca="false">SUM($F$32:F101)</f>
        <v>232.192175149192</v>
      </c>
      <c r="H101" s="19" t="n">
        <f aca="false">$B$30</f>
        <v>125</v>
      </c>
      <c r="I101" s="19" t="n">
        <f aca="false">$D$30</f>
        <v>250</v>
      </c>
    </row>
    <row r="102" customFormat="false" ht="15" hidden="false" customHeight="false" outlineLevel="0" collapsed="false">
      <c r="A102" s="13" t="n">
        <v>71</v>
      </c>
      <c r="B102" s="19" t="n">
        <f aca="false">$C$8</f>
        <v>10</v>
      </c>
      <c r="C102" s="19" t="n">
        <f aca="false">B102/(1+$C$9)^A102</f>
        <v>0.0423558459829726</v>
      </c>
      <c r="D102" s="19" t="n">
        <f aca="false">SUM($C$32:C102)</f>
        <v>124.470551925213</v>
      </c>
      <c r="E102" s="19" t="n">
        <f aca="false">$C$17*(1+$C$19)^(A102-1)</f>
        <v>155.716183502406</v>
      </c>
      <c r="F102" s="19" t="n">
        <f aca="false">E102/(1+$C$18)^A102</f>
        <v>0.659549068548421</v>
      </c>
      <c r="G102" s="19" t="n">
        <f aca="false">SUM($F$32:F102)</f>
        <v>232.851724217741</v>
      </c>
      <c r="H102" s="19" t="n">
        <f aca="false">$B$30</f>
        <v>125</v>
      </c>
      <c r="I102" s="19" t="n">
        <f aca="false">$D$30</f>
        <v>250</v>
      </c>
    </row>
    <row r="103" customFormat="false" ht="15" hidden="false" customHeight="false" outlineLevel="0" collapsed="false">
      <c r="A103" s="13" t="n">
        <v>72</v>
      </c>
      <c r="B103" s="19" t="n">
        <f aca="false">$C$8</f>
        <v>10</v>
      </c>
      <c r="C103" s="19" t="n">
        <f aca="false">B103/(1+$C$9)^A103</f>
        <v>0.0392183759101598</v>
      </c>
      <c r="D103" s="19" t="n">
        <f aca="false">SUM($C$32:C103)</f>
        <v>124.509770301123</v>
      </c>
      <c r="E103" s="19" t="n">
        <f aca="false">$C$17*(1+$C$19)^(A103-1)</f>
        <v>161.944830842502</v>
      </c>
      <c r="F103" s="19" t="n">
        <f aca="false">E103/(1+$C$18)^A103</f>
        <v>0.63512132526885</v>
      </c>
      <c r="G103" s="19" t="n">
        <f aca="false">SUM($F$32:F103)</f>
        <v>233.48684554301</v>
      </c>
      <c r="H103" s="19" t="n">
        <f aca="false">$B$30</f>
        <v>125</v>
      </c>
      <c r="I103" s="19" t="n">
        <f aca="false">$D$30</f>
        <v>250</v>
      </c>
    </row>
    <row r="104" customFormat="false" ht="15" hidden="false" customHeight="false" outlineLevel="0" collapsed="false">
      <c r="A104" s="13" t="n">
        <v>73</v>
      </c>
      <c r="B104" s="19" t="n">
        <f aca="false">$C$8</f>
        <v>10</v>
      </c>
      <c r="C104" s="19" t="n">
        <f aca="false">B104/(1+$C$9)^A104</f>
        <v>0.0363133110279257</v>
      </c>
      <c r="D104" s="19" t="n">
        <f aca="false">SUM($C$32:C104)</f>
        <v>124.546083612151</v>
      </c>
      <c r="E104" s="19" t="n">
        <f aca="false">$C$17*(1+$C$19)^(A104-1)</f>
        <v>168.422624076203</v>
      </c>
      <c r="F104" s="19" t="n">
        <f aca="false">E104/(1+$C$18)^A104</f>
        <v>0.611598313221855</v>
      </c>
      <c r="G104" s="19" t="n">
        <f aca="false">SUM($F$32:F104)</f>
        <v>234.098443856232</v>
      </c>
      <c r="H104" s="19" t="n">
        <f aca="false">$B$30</f>
        <v>125</v>
      </c>
      <c r="I104" s="19" t="n">
        <f aca="false">$D$30</f>
        <v>250</v>
      </c>
    </row>
    <row r="105" customFormat="false" ht="15" hidden="false" customHeight="false" outlineLevel="0" collapsed="false">
      <c r="A105" s="13" t="n">
        <v>74</v>
      </c>
      <c r="B105" s="19" t="n">
        <f aca="false">$C$8</f>
        <v>10</v>
      </c>
      <c r="C105" s="19" t="n">
        <f aca="false">B105/(1+$C$9)^A105</f>
        <v>0.0336234361369683</v>
      </c>
      <c r="D105" s="19" t="n">
        <f aca="false">SUM($C$32:C105)</f>
        <v>124.579707048288</v>
      </c>
      <c r="E105" s="19" t="n">
        <f aca="false">$C$17*(1+$C$19)^(A105-1)</f>
        <v>175.159529039251</v>
      </c>
      <c r="F105" s="19" t="n">
        <f aca="false">E105/(1+$C$18)^A105</f>
        <v>0.588946523843268</v>
      </c>
      <c r="G105" s="19" t="n">
        <f aca="false">SUM($F$32:F105)</f>
        <v>234.687390380075</v>
      </c>
      <c r="H105" s="19" t="n">
        <f aca="false">$B$30</f>
        <v>125</v>
      </c>
      <c r="I105" s="19" t="n">
        <f aca="false">$D$30</f>
        <v>250</v>
      </c>
    </row>
    <row r="106" customFormat="false" ht="15" hidden="false" customHeight="false" outlineLevel="0" collapsed="false">
      <c r="A106" s="13" t="n">
        <v>75</v>
      </c>
      <c r="B106" s="19" t="n">
        <f aca="false">$C$8</f>
        <v>10</v>
      </c>
      <c r="C106" s="19" t="n">
        <f aca="false">B106/(1+$C$9)^A106</f>
        <v>0.0311328112379336</v>
      </c>
      <c r="D106" s="19" t="n">
        <f aca="false">SUM($C$32:C106)</f>
        <v>124.610839859526</v>
      </c>
      <c r="E106" s="19" t="n">
        <f aca="false">$C$17*(1+$C$19)^(A106-1)</f>
        <v>182.165910200821</v>
      </c>
      <c r="F106" s="19" t="n">
        <f aca="false">E106/(1+$C$18)^A106</f>
        <v>0.567133689626851</v>
      </c>
      <c r="G106" s="19" t="n">
        <f aca="false">SUM($F$32:F106)</f>
        <v>235.254524069702</v>
      </c>
      <c r="H106" s="19" t="n">
        <f aca="false">$B$30</f>
        <v>125</v>
      </c>
      <c r="I106" s="19" t="n">
        <f aca="false">$D$30</f>
        <v>250</v>
      </c>
    </row>
    <row r="107" customFormat="false" ht="15" hidden="false" customHeight="false" outlineLevel="0" collapsed="false">
      <c r="A107" s="13" t="n">
        <v>76</v>
      </c>
      <c r="B107" s="19" t="n">
        <f aca="false">$C$8</f>
        <v>10</v>
      </c>
      <c r="C107" s="19" t="n">
        <f aca="false">B107/(1+$C$9)^A107</f>
        <v>0.0288266770721607</v>
      </c>
      <c r="D107" s="19" t="n">
        <f aca="false">SUM($C$32:C107)</f>
        <v>124.639666536598</v>
      </c>
      <c r="E107" s="19" t="n">
        <f aca="false">$C$17*(1+$C$19)^(A107-1)</f>
        <v>189.452546608853</v>
      </c>
      <c r="F107" s="19" t="n">
        <f aca="false">E107/(1+$C$18)^A107</f>
        <v>0.546128738159189</v>
      </c>
      <c r="G107" s="19" t="n">
        <f aca="false">SUM($F$32:F107)</f>
        <v>235.800652807861</v>
      </c>
      <c r="H107" s="19" t="n">
        <f aca="false">$B$30</f>
        <v>125</v>
      </c>
      <c r="I107" s="19" t="n">
        <f aca="false">$D$30</f>
        <v>250</v>
      </c>
    </row>
    <row r="108" customFormat="false" ht="15" hidden="false" customHeight="false" outlineLevel="0" collapsed="false">
      <c r="A108" s="13" t="n">
        <v>77</v>
      </c>
      <c r="B108" s="19" t="n">
        <f aca="false">$C$8</f>
        <v>10</v>
      </c>
      <c r="C108" s="19" t="n">
        <f aca="false">B108/(1+$C$9)^A108</f>
        <v>0.0266913676594081</v>
      </c>
      <c r="D108" s="19" t="n">
        <f aca="false">SUM($C$32:C108)</f>
        <v>124.666357904257</v>
      </c>
      <c r="E108" s="19" t="n">
        <f aca="false">$C$17*(1+$C$19)^(A108-1)</f>
        <v>197.030648473208</v>
      </c>
      <c r="F108" s="19" t="n">
        <f aca="false">E108/(1+$C$18)^A108</f>
        <v>0.525901747856997</v>
      </c>
      <c r="G108" s="19" t="n">
        <f aca="false">SUM($F$32:F108)</f>
        <v>236.326554555718</v>
      </c>
      <c r="H108" s="19" t="n">
        <f aca="false">$B$30</f>
        <v>125</v>
      </c>
      <c r="I108" s="19" t="n">
        <f aca="false">$D$30</f>
        <v>250</v>
      </c>
    </row>
    <row r="109" customFormat="false" ht="15" hidden="false" customHeight="false" outlineLevel="0" collapsed="false">
      <c r="A109" s="13" t="n">
        <v>78</v>
      </c>
      <c r="B109" s="19" t="n">
        <f aca="false">$C$8</f>
        <v>10</v>
      </c>
      <c r="C109" s="19" t="n">
        <f aca="false">B109/(1+$C$9)^A109</f>
        <v>0.0247142293142667</v>
      </c>
      <c r="D109" s="19" t="n">
        <f aca="false">SUM($C$32:C109)</f>
        <v>124.691072133572</v>
      </c>
      <c r="E109" s="19" t="n">
        <f aca="false">$C$17*(1+$C$19)^(A109-1)</f>
        <v>204.911874412136</v>
      </c>
      <c r="F109" s="19" t="n">
        <f aca="false">E109/(1+$C$18)^A109</f>
        <v>0.506423905343775</v>
      </c>
      <c r="G109" s="19" t="n">
        <f aca="false">SUM($F$32:F109)</f>
        <v>236.832978461062</v>
      </c>
      <c r="H109" s="19" t="n">
        <f aca="false">$B$30</f>
        <v>125</v>
      </c>
      <c r="I109" s="19" t="n">
        <f aca="false">$D$30</f>
        <v>250</v>
      </c>
    </row>
    <row r="110" customFormat="false" ht="15" hidden="false" customHeight="false" outlineLevel="0" collapsed="false">
      <c r="A110" s="13" t="n">
        <v>79</v>
      </c>
      <c r="B110" s="19" t="n">
        <f aca="false">$C$8</f>
        <v>10</v>
      </c>
      <c r="C110" s="19" t="n">
        <f aca="false">B110/(1+$C$9)^A110</f>
        <v>0.0228835456613581</v>
      </c>
      <c r="D110" s="19" t="n">
        <f aca="false">SUM($C$32:C110)</f>
        <v>124.713955679233</v>
      </c>
      <c r="E110" s="19" t="n">
        <f aca="false">$C$17*(1+$C$19)^(A110-1)</f>
        <v>213.108349388621</v>
      </c>
      <c r="F110" s="19" t="n">
        <f aca="false">E110/(1+$C$18)^A110</f>
        <v>0.487667464405117</v>
      </c>
      <c r="G110" s="19" t="n">
        <f aca="false">SUM($F$32:F110)</f>
        <v>237.320645925467</v>
      </c>
      <c r="H110" s="19" t="n">
        <f aca="false">$B$30</f>
        <v>125</v>
      </c>
      <c r="I110" s="19" t="n">
        <f aca="false">$D$30</f>
        <v>250</v>
      </c>
    </row>
    <row r="111" customFormat="false" ht="15" hidden="false" customHeight="false" outlineLevel="0" collapsed="false">
      <c r="A111" s="13" t="n">
        <v>80</v>
      </c>
      <c r="B111" s="19" t="n">
        <f aca="false">$C$8</f>
        <v>10</v>
      </c>
      <c r="C111" s="19" t="n">
        <f aca="false">B111/(1+$C$9)^A111</f>
        <v>0.0211884682049612</v>
      </c>
      <c r="D111" s="19" t="n">
        <f aca="false">SUM($C$32:C111)</f>
        <v>124.735144147438</v>
      </c>
      <c r="E111" s="19" t="n">
        <f aca="false">$C$17*(1+$C$19)^(A111-1)</f>
        <v>221.632683364166</v>
      </c>
      <c r="F111" s="19" t="n">
        <f aca="false">E111/(1+$C$18)^A111</f>
        <v>0.469605706464186</v>
      </c>
      <c r="G111" s="19" t="n">
        <f aca="false">SUM($F$32:F111)</f>
        <v>237.790251631931</v>
      </c>
      <c r="H111" s="19" t="n">
        <f aca="false">$B$30</f>
        <v>125</v>
      </c>
      <c r="I111" s="19" t="n">
        <f aca="false">$D$30</f>
        <v>250</v>
      </c>
    </row>
    <row r="112" customFormat="false" ht="15" hidden="false" customHeight="false" outlineLevel="0" collapsed="false">
      <c r="A112" s="13" t="n">
        <v>81</v>
      </c>
      <c r="B112" s="19" t="n">
        <f aca="false">$C$8</f>
        <v>10</v>
      </c>
      <c r="C112" s="19" t="n">
        <f aca="false">B112/(1+$C$9)^A112</f>
        <v>0.0196189520416307</v>
      </c>
      <c r="D112" s="19" t="n">
        <f aca="false">SUM($C$32:C112)</f>
        <v>124.75476309948</v>
      </c>
      <c r="E112" s="19" t="n">
        <f aca="false">$C$17*(1+$C$19)^(A112-1)</f>
        <v>230.497990698733</v>
      </c>
      <c r="F112" s="19" t="n">
        <f aca="false">E112/(1+$C$18)^A112</f>
        <v>0.452212902521068</v>
      </c>
      <c r="G112" s="19" t="n">
        <f aca="false">SUM($F$32:F112)</f>
        <v>238.242464534452</v>
      </c>
      <c r="H112" s="19" t="n">
        <f aca="false">$B$30</f>
        <v>125</v>
      </c>
      <c r="I112" s="19" t="n">
        <f aca="false">$D$30</f>
        <v>250</v>
      </c>
    </row>
    <row r="113" customFormat="false" ht="15" hidden="false" customHeight="false" outlineLevel="0" collapsed="false">
      <c r="A113" s="13" t="n">
        <v>82</v>
      </c>
      <c r="B113" s="19" t="n">
        <f aca="false">$C$8</f>
        <v>10</v>
      </c>
      <c r="C113" s="19" t="n">
        <f aca="false">B113/(1+$C$9)^A113</f>
        <v>0.0181656963348433</v>
      </c>
      <c r="D113" s="19" t="n">
        <f aca="false">SUM($C$32:C113)</f>
        <v>124.772928795814</v>
      </c>
      <c r="E113" s="19" t="n">
        <f aca="false">$C$17*(1+$C$19)^(A113-1)</f>
        <v>239.717910326682</v>
      </c>
      <c r="F113" s="19" t="n">
        <f aca="false">E113/(1+$C$18)^A113</f>
        <v>0.43546427650177</v>
      </c>
      <c r="G113" s="19" t="n">
        <f aca="false">SUM($F$32:F113)</f>
        <v>238.677928810954</v>
      </c>
      <c r="H113" s="19" t="n">
        <f aca="false">$B$30</f>
        <v>125</v>
      </c>
      <c r="I113" s="19" t="n">
        <f aca="false">$D$30</f>
        <v>250</v>
      </c>
    </row>
    <row r="114" customFormat="false" ht="15" hidden="false" customHeight="false" outlineLevel="0" collapsed="false">
      <c r="A114" s="13" t="n">
        <v>83</v>
      </c>
      <c r="B114" s="19" t="n">
        <f aca="false">$C$8</f>
        <v>10</v>
      </c>
      <c r="C114" s="19" t="n">
        <f aca="false">B114/(1+$C$9)^A114</f>
        <v>0.0168200891989289</v>
      </c>
      <c r="D114" s="19" t="n">
        <f aca="false">SUM($C$32:C114)</f>
        <v>124.789748885013</v>
      </c>
      <c r="E114" s="19" t="n">
        <f aca="false">$C$17*(1+$C$19)^(A114-1)</f>
        <v>249.30662673975</v>
      </c>
      <c r="F114" s="19" t="n">
        <f aca="false">E114/(1+$C$18)^A114</f>
        <v>0.419335969964667</v>
      </c>
      <c r="G114" s="19" t="n">
        <f aca="false">SUM($F$32:F114)</f>
        <v>239.097264780918</v>
      </c>
      <c r="H114" s="19" t="n">
        <f aca="false">$B$30</f>
        <v>125</v>
      </c>
      <c r="I114" s="19" t="n">
        <f aca="false">$D$30</f>
        <v>250</v>
      </c>
    </row>
    <row r="115" customFormat="false" ht="15" hidden="false" customHeight="false" outlineLevel="0" collapsed="false">
      <c r="A115" s="13" t="n">
        <v>84</v>
      </c>
      <c r="B115" s="19" t="n">
        <f aca="false">$C$8</f>
        <v>10</v>
      </c>
      <c r="C115" s="19" t="n">
        <f aca="false">B115/(1+$C$9)^A115</f>
        <v>0.0155741566656749</v>
      </c>
      <c r="D115" s="19" t="n">
        <f aca="false">SUM($C$32:C115)</f>
        <v>124.805323041679</v>
      </c>
      <c r="E115" s="19" t="n">
        <f aca="false">$C$17*(1+$C$19)^(A115-1)</f>
        <v>259.27889180934</v>
      </c>
      <c r="F115" s="19" t="n">
        <f aca="false">E115/(1+$C$18)^A115</f>
        <v>0.403805008114124</v>
      </c>
      <c r="G115" s="19" t="n">
        <f aca="false">SUM($F$32:F115)</f>
        <v>239.501069789033</v>
      </c>
      <c r="H115" s="19" t="n">
        <f aca="false">$B$30</f>
        <v>125</v>
      </c>
      <c r="I115" s="19" t="n">
        <f aca="false">$D$30</f>
        <v>250</v>
      </c>
    </row>
    <row r="116" customFormat="false" ht="15" hidden="false" customHeight="false" outlineLevel="0" collapsed="false">
      <c r="A116" s="13" t="n">
        <v>85</v>
      </c>
      <c r="B116" s="19" t="n">
        <f aca="false">$C$8</f>
        <v>10</v>
      </c>
      <c r="C116" s="19" t="n">
        <f aca="false">B116/(1+$C$9)^A116</f>
        <v>0.0144205154311805</v>
      </c>
      <c r="D116" s="19" t="n">
        <f aca="false">SUM($C$32:C116)</f>
        <v>124.81974355711</v>
      </c>
      <c r="E116" s="19" t="n">
        <f aca="false">$C$17*(1+$C$19)^(A116-1)</f>
        <v>269.650047481713</v>
      </c>
      <c r="F116" s="19" t="n">
        <f aca="false">E116/(1+$C$18)^A116</f>
        <v>0.38884926707286</v>
      </c>
      <c r="G116" s="19" t="n">
        <f aca="false">SUM($F$32:F116)</f>
        <v>239.889919056105</v>
      </c>
      <c r="H116" s="19" t="n">
        <f aca="false">$B$30</f>
        <v>125</v>
      </c>
      <c r="I116" s="19" t="n">
        <f aca="false">$D$30</f>
        <v>250</v>
      </c>
    </row>
    <row r="117" customFormat="false" ht="15" hidden="false" customHeight="false" outlineLevel="0" collapsed="false">
      <c r="A117" s="13" t="n">
        <v>86</v>
      </c>
      <c r="B117" s="19" t="n">
        <f aca="false">$C$8</f>
        <v>10</v>
      </c>
      <c r="C117" s="19" t="n">
        <f aca="false">B117/(1+$C$9)^A117</f>
        <v>0.0133523291029449</v>
      </c>
      <c r="D117" s="19" t="n">
        <f aca="false">SUM($C$32:C117)</f>
        <v>124.833095886213</v>
      </c>
      <c r="E117" s="19" t="n">
        <f aca="false">$C$17*(1+$C$19)^(A117-1)</f>
        <v>280.436049380982</v>
      </c>
      <c r="F117" s="19" t="n">
        <f aca="false">E117/(1+$C$18)^A117</f>
        <v>0.374447442366458</v>
      </c>
      <c r="G117" s="19" t="n">
        <f aca="false">SUM($F$32:F117)</f>
        <v>240.264366498472</v>
      </c>
      <c r="H117" s="19" t="n">
        <f aca="false">$B$30</f>
        <v>125</v>
      </c>
      <c r="I117" s="19" t="n">
        <f aca="false">$D$30</f>
        <v>250</v>
      </c>
    </row>
    <row r="118" customFormat="false" ht="15" hidden="false" customHeight="false" outlineLevel="0" collapsed="false">
      <c r="A118" s="13" t="n">
        <v>87</v>
      </c>
      <c r="B118" s="19" t="n">
        <f aca="false">$C$8</f>
        <v>10</v>
      </c>
      <c r="C118" s="19" t="n">
        <f aca="false">B118/(1+$C$9)^A118</f>
        <v>0.012363267687912</v>
      </c>
      <c r="D118" s="19" t="n">
        <f aca="false">SUM($C$32:C118)</f>
        <v>124.845459153901</v>
      </c>
      <c r="E118" s="19" t="n">
        <f aca="false">$C$17*(1+$C$19)^(A118-1)</f>
        <v>291.653491356221</v>
      </c>
      <c r="F118" s="19" t="n">
        <f aca="false">E118/(1+$C$18)^A118</f>
        <v>0.360579018575107</v>
      </c>
      <c r="G118" s="19" t="n">
        <f aca="false">SUM($F$32:F118)</f>
        <v>240.624945517047</v>
      </c>
      <c r="H118" s="19" t="n">
        <f aca="false">$B$30</f>
        <v>125</v>
      </c>
      <c r="I118" s="19" t="n">
        <f aca="false">$D$30</f>
        <v>250</v>
      </c>
    </row>
    <row r="119" customFormat="false" ht="15" hidden="false" customHeight="false" outlineLevel="0" collapsed="false">
      <c r="A119" s="13" t="n">
        <v>88</v>
      </c>
      <c r="B119" s="19" t="n">
        <f aca="false">$C$8</f>
        <v>10</v>
      </c>
      <c r="C119" s="19" t="n">
        <f aca="false">B119/(1+$C$9)^A119</f>
        <v>0.0114474700814</v>
      </c>
      <c r="D119" s="19" t="n">
        <f aca="false">SUM($C$32:C119)</f>
        <v>124.856906623982</v>
      </c>
      <c r="E119" s="19" t="n">
        <f aca="false">$C$17*(1+$C$19)^(A119-1)</f>
        <v>303.31963101047</v>
      </c>
      <c r="F119" s="19" t="n">
        <f aca="false">E119/(1+$C$18)^A119</f>
        <v>0.347224240109363</v>
      </c>
      <c r="G119" s="19" t="n">
        <f aca="false">SUM($F$32:F119)</f>
        <v>240.972169757156</v>
      </c>
      <c r="H119" s="19" t="n">
        <f aca="false">$B$30</f>
        <v>125</v>
      </c>
      <c r="I119" s="19" t="n">
        <f aca="false">$D$30</f>
        <v>250</v>
      </c>
    </row>
    <row r="120" customFormat="false" ht="15" hidden="false" customHeight="false" outlineLevel="0" collapsed="false">
      <c r="A120" s="13" t="n">
        <v>89</v>
      </c>
      <c r="B120" s="19" t="n">
        <f aca="false">$C$8</f>
        <v>10</v>
      </c>
      <c r="C120" s="19" t="n">
        <f aca="false">B120/(1+$C$9)^A120</f>
        <v>0.0105995093346296</v>
      </c>
      <c r="D120" s="19" t="n">
        <f aca="false">SUM($C$32:C120)</f>
        <v>124.867506133317</v>
      </c>
      <c r="E120" s="19" t="n">
        <f aca="false">$C$17*(1+$C$19)^(A120-1)</f>
        <v>315.452416250889</v>
      </c>
      <c r="F120" s="19" t="n">
        <f aca="false">E120/(1+$C$18)^A120</f>
        <v>0.334364083068275</v>
      </c>
      <c r="G120" s="19" t="n">
        <f aca="false">SUM($F$32:F120)</f>
        <v>241.306533840225</v>
      </c>
      <c r="H120" s="19" t="n">
        <f aca="false">$B$30</f>
        <v>125</v>
      </c>
      <c r="I120" s="19" t="n">
        <f aca="false">$D$30</f>
        <v>250</v>
      </c>
    </row>
    <row r="121" customFormat="false" ht="15" hidden="false" customHeight="false" outlineLevel="0" collapsed="false">
      <c r="A121" s="13" t="n">
        <v>90</v>
      </c>
      <c r="B121" s="19" t="n">
        <f aca="false">$C$8</f>
        <v>10</v>
      </c>
      <c r="C121" s="19" t="n">
        <f aca="false">B121/(1+$C$9)^A121</f>
        <v>0.00981436049502739</v>
      </c>
      <c r="D121" s="19" t="n">
        <f aca="false">SUM($C$32:C121)</f>
        <v>124.877320493812</v>
      </c>
      <c r="E121" s="19" t="n">
        <f aca="false">$C$17*(1+$C$19)^(A121-1)</f>
        <v>328.070512900924</v>
      </c>
      <c r="F121" s="19" t="n">
        <f aca="false">E121/(1+$C$18)^A121</f>
        <v>0.32198022813982</v>
      </c>
      <c r="G121" s="19" t="n">
        <f aca="false">SUM($F$32:F121)</f>
        <v>241.628514068364</v>
      </c>
      <c r="H121" s="19" t="n">
        <f aca="false">$B$30</f>
        <v>125</v>
      </c>
      <c r="I121" s="19" t="n">
        <f aca="false">$D$30</f>
        <v>250</v>
      </c>
    </row>
    <row r="122" customFormat="false" ht="15" hidden="false" customHeight="false" outlineLevel="0" collapsed="false">
      <c r="A122" s="13" t="n">
        <v>91</v>
      </c>
      <c r="B122" s="19" t="n">
        <f aca="false">$C$8</f>
        <v>10</v>
      </c>
      <c r="C122" s="19" t="n">
        <f aca="false">B122/(1+$C$9)^A122</f>
        <v>0.00908737082872907</v>
      </c>
      <c r="D122" s="19" t="n">
        <f aca="false">SUM($C$32:C122)</f>
        <v>124.886407864641</v>
      </c>
      <c r="E122" s="19" t="n">
        <f aca="false">$C$17*(1+$C$19)^(A122-1)</f>
        <v>341.193333416961</v>
      </c>
      <c r="F122" s="19" t="n">
        <f aca="false">E122/(1+$C$18)^A122</f>
        <v>0.310055034505012</v>
      </c>
      <c r="G122" s="19" t="n">
        <f aca="false">SUM($F$32:F122)</f>
        <v>241.938569102869</v>
      </c>
      <c r="H122" s="19" t="n">
        <f aca="false">$B$30</f>
        <v>125</v>
      </c>
      <c r="I122" s="19" t="n">
        <f aca="false">$D$30</f>
        <v>250</v>
      </c>
    </row>
    <row r="123" customFormat="false" ht="15" hidden="false" customHeight="false" outlineLevel="0" collapsed="false">
      <c r="A123" s="13" t="n">
        <v>92</v>
      </c>
      <c r="B123" s="19" t="n">
        <f aca="false">$C$8</f>
        <v>10</v>
      </c>
      <c r="C123" s="19" t="n">
        <f aca="false">B123/(1+$C$9)^A123</f>
        <v>0.00841423224882321</v>
      </c>
      <c r="D123" s="19" t="n">
        <f aca="false">SUM($C$32:C123)</f>
        <v>124.89482209689</v>
      </c>
      <c r="E123" s="19" t="n">
        <f aca="false">$C$17*(1+$C$19)^(A123-1)</f>
        <v>354.84106675364</v>
      </c>
      <c r="F123" s="19" t="n">
        <f aca="false">E123/(1+$C$18)^A123</f>
        <v>0.29857151470853</v>
      </c>
      <c r="G123" s="19" t="n">
        <f aca="false">SUM($F$32:F123)</f>
        <v>242.237140617578</v>
      </c>
      <c r="H123" s="19" t="n">
        <f aca="false">$B$30</f>
        <v>125</v>
      </c>
      <c r="I123" s="19" t="n">
        <f aca="false">$D$30</f>
        <v>250</v>
      </c>
    </row>
    <row r="124" customFormat="false" ht="15" hidden="false" customHeight="false" outlineLevel="0" collapsed="false">
      <c r="A124" s="13" t="n">
        <v>93</v>
      </c>
      <c r="B124" s="19" t="n">
        <f aca="false">$C$8</f>
        <v>10</v>
      </c>
      <c r="C124" s="19" t="n">
        <f aca="false">B124/(1+$C$9)^A124</f>
        <v>0.00779095578594742</v>
      </c>
      <c r="D124" s="19" t="n">
        <f aca="false">SUM($C$32:C124)</f>
        <v>124.902613052676</v>
      </c>
      <c r="E124" s="19" t="n">
        <f aca="false">$C$17*(1+$C$19)^(A124-1)</f>
        <v>369.034709423785</v>
      </c>
      <c r="F124" s="19" t="n">
        <f aca="false">E124/(1+$C$18)^A124</f>
        <v>0.287513310460066</v>
      </c>
      <c r="G124" s="19" t="n">
        <f aca="false">SUM($F$32:F124)</f>
        <v>242.524653928038</v>
      </c>
      <c r="H124" s="19" t="n">
        <f aca="false">$B$30</f>
        <v>125</v>
      </c>
      <c r="I124" s="19" t="n">
        <f aca="false">$D$30</f>
        <v>250</v>
      </c>
    </row>
    <row r="125" customFormat="false" ht="15" hidden="false" customHeight="false" outlineLevel="0" collapsed="false">
      <c r="A125" s="13" t="n">
        <v>94</v>
      </c>
      <c r="B125" s="19" t="n">
        <f aca="false">$C$8</f>
        <v>10</v>
      </c>
      <c r="C125" s="19" t="n">
        <f aca="false">B125/(1+$C$9)^A125</f>
        <v>0.00721384794995131</v>
      </c>
      <c r="D125" s="19" t="n">
        <f aca="false">SUM($C$32:C125)</f>
        <v>124.909826900626</v>
      </c>
      <c r="E125" s="19" t="n">
        <f aca="false">$C$17*(1+$C$19)^(A125-1)</f>
        <v>383.796097800737</v>
      </c>
      <c r="F125" s="19" t="n">
        <f aca="false">E125/(1+$C$18)^A125</f>
        <v>0.276864669331916</v>
      </c>
      <c r="G125" s="19" t="n">
        <f aca="false">SUM($F$32:F125)</f>
        <v>242.80151859737</v>
      </c>
      <c r="H125" s="19" t="n">
        <f aca="false">$B$30</f>
        <v>125</v>
      </c>
      <c r="I125" s="19" t="n">
        <f aca="false">$D$30</f>
        <v>250</v>
      </c>
    </row>
    <row r="126" customFormat="false" ht="15" hidden="false" customHeight="false" outlineLevel="0" collapsed="false">
      <c r="A126" s="13" t="n">
        <v>95</v>
      </c>
      <c r="B126" s="19" t="n">
        <f aca="false">$C$8</f>
        <v>10</v>
      </c>
      <c r="C126" s="19" t="n">
        <f aca="false">B126/(1+$C$9)^A126</f>
        <v>0.00667948884254751</v>
      </c>
      <c r="D126" s="19" t="n">
        <f aca="false">SUM($C$32:C126)</f>
        <v>124.916506389468</v>
      </c>
      <c r="E126" s="19" t="n">
        <f aca="false">$C$17*(1+$C$19)^(A126-1)</f>
        <v>399.147941712766</v>
      </c>
      <c r="F126" s="19" t="n">
        <f aca="false">E126/(1+$C$18)^A126</f>
        <v>0.266610422319623</v>
      </c>
      <c r="G126" s="19" t="n">
        <f aca="false">SUM($F$32:F126)</f>
        <v>243.06812901969</v>
      </c>
      <c r="H126" s="19" t="n">
        <f aca="false">$B$30</f>
        <v>125</v>
      </c>
      <c r="I126" s="19" t="n">
        <f aca="false">$D$30</f>
        <v>250</v>
      </c>
    </row>
    <row r="127" customFormat="false" ht="15" hidden="false" customHeight="false" outlineLevel="0" collapsed="false">
      <c r="A127" s="13" t="n">
        <v>96</v>
      </c>
      <c r="B127" s="19" t="n">
        <f aca="false">$C$8</f>
        <v>10</v>
      </c>
      <c r="C127" s="19" t="n">
        <f aca="false">B127/(1+$C$9)^A127</f>
        <v>0.00618471189124769</v>
      </c>
      <c r="D127" s="19" t="n">
        <f aca="false">SUM($C$32:C127)</f>
        <v>124.922691101359</v>
      </c>
      <c r="E127" s="19" t="n">
        <f aca="false">$C$17*(1+$C$19)^(A127-1)</f>
        <v>415.113859381277</v>
      </c>
      <c r="F127" s="19" t="n">
        <f aca="false">E127/(1+$C$18)^A127</f>
        <v>0.256735962233711</v>
      </c>
      <c r="G127" s="19" t="n">
        <f aca="false">SUM($F$32:F127)</f>
        <v>243.324864981923</v>
      </c>
      <c r="H127" s="19" t="n">
        <f aca="false">$B$30</f>
        <v>125</v>
      </c>
      <c r="I127" s="19" t="n">
        <f aca="false">$D$30</f>
        <v>250</v>
      </c>
    </row>
    <row r="128" customFormat="false" ht="15" hidden="false" customHeight="false" outlineLevel="0" collapsed="false">
      <c r="A128" s="13" t="n">
        <v>97</v>
      </c>
      <c r="B128" s="19" t="n">
        <f aca="false">$C$8</f>
        <v>10</v>
      </c>
      <c r="C128" s="19" t="n">
        <f aca="false">B128/(1+$C$9)^A128</f>
        <v>0.00572658508448861</v>
      </c>
      <c r="D128" s="19" t="n">
        <f aca="false">SUM($C$32:C128)</f>
        <v>124.928417686444</v>
      </c>
      <c r="E128" s="19" t="n">
        <f aca="false">$C$17*(1+$C$19)^(A128-1)</f>
        <v>431.718413756528</v>
      </c>
      <c r="F128" s="19" t="n">
        <f aca="false">E128/(1+$C$18)^A128</f>
        <v>0.247227222891721</v>
      </c>
      <c r="G128" s="19" t="n">
        <f aca="false">SUM($F$32:F128)</f>
        <v>243.572092204815</v>
      </c>
      <c r="H128" s="19" t="n">
        <f aca="false">$B$30</f>
        <v>125</v>
      </c>
      <c r="I128" s="19" t="n">
        <f aca="false">$D$30</f>
        <v>250</v>
      </c>
    </row>
    <row r="129" customFormat="false" ht="15" hidden="false" customHeight="false" outlineLevel="0" collapsed="false">
      <c r="A129" s="13" t="n">
        <v>98</v>
      </c>
      <c r="B129" s="19" t="n">
        <f aca="false">$C$8</f>
        <v>10</v>
      </c>
      <c r="C129" s="19" t="n">
        <f aca="false">B129/(1+$C$9)^A129</f>
        <v>0.00530239359674871</v>
      </c>
      <c r="D129" s="19" t="n">
        <f aca="false">SUM($C$32:C129)</f>
        <v>124.933720080041</v>
      </c>
      <c r="E129" s="19" t="n">
        <f aca="false">$C$17*(1+$C$19)^(A129-1)</f>
        <v>448.987150306789</v>
      </c>
      <c r="F129" s="19" t="n">
        <f aca="false">E129/(1+$C$18)^A129</f>
        <v>0.238070659080917</v>
      </c>
      <c r="G129" s="19" t="n">
        <f aca="false">SUM($F$32:F129)</f>
        <v>243.810162863896</v>
      </c>
      <c r="H129" s="19" t="n">
        <f aca="false">$B$30</f>
        <v>125</v>
      </c>
      <c r="I129" s="19" t="n">
        <f aca="false">$D$30</f>
        <v>250</v>
      </c>
    </row>
    <row r="130" customFormat="false" ht="15" hidden="false" customHeight="false" outlineLevel="0" collapsed="false">
      <c r="A130" s="13" t="n">
        <v>99</v>
      </c>
      <c r="B130" s="19" t="n">
        <f aca="false">$C$8</f>
        <v>10</v>
      </c>
      <c r="C130" s="19" t="n">
        <f aca="false">B130/(1+$C$9)^A130</f>
        <v>0.00490962370069325</v>
      </c>
      <c r="D130" s="19" t="n">
        <f aca="false">SUM($C$32:C130)</f>
        <v>124.938629703741</v>
      </c>
      <c r="E130" s="19" t="n">
        <f aca="false">$C$17*(1+$C$19)^(A130-1)</f>
        <v>466.946636319061</v>
      </c>
      <c r="F130" s="19" t="n">
        <f aca="false">E130/(1+$C$18)^A130</f>
        <v>0.229253227263105</v>
      </c>
      <c r="G130" s="19" t="n">
        <f aca="false">SUM($F$32:F130)</f>
        <v>244.039416091159</v>
      </c>
      <c r="H130" s="19" t="n">
        <f aca="false">$B$30</f>
        <v>125</v>
      </c>
      <c r="I130" s="19" t="n">
        <f aca="false">$D$30</f>
        <v>250</v>
      </c>
    </row>
    <row r="131" customFormat="false" ht="15" hidden="false" customHeight="false" outlineLevel="0" collapsed="false">
      <c r="A131" s="13" t="n">
        <v>100</v>
      </c>
      <c r="B131" s="19" t="n">
        <f aca="false">$C$8</f>
        <v>10</v>
      </c>
      <c r="C131" s="19" t="n">
        <f aca="false">B131/(1+$C$9)^A131</f>
        <v>0.00454594787101227</v>
      </c>
      <c r="D131" s="19" t="n">
        <f aca="false">SUM($C$32:C131)</f>
        <v>124.943175651612</v>
      </c>
      <c r="E131" s="19" t="n">
        <f aca="false">$C$17*(1+$C$19)^(A131-1)</f>
        <v>485.624501771823</v>
      </c>
      <c r="F131" s="19" t="n">
        <f aca="false">E131/(1+$C$18)^A131</f>
        <v>0.220762366994101</v>
      </c>
      <c r="G131" s="19" t="n">
        <f aca="false">SUM($F$32:F131)</f>
        <v>244.260178458153</v>
      </c>
      <c r="H131" s="19" t="n">
        <f aca="false">$B$30</f>
        <v>125</v>
      </c>
      <c r="I131" s="19" t="n">
        <f aca="false">$D$30</f>
        <v>250</v>
      </c>
    </row>
    <row r="132" customFormat="false" ht="15" hidden="false" customHeight="false" outlineLevel="0" collapsed="false">
      <c r="A132" s="16" t="s">
        <v>219</v>
      </c>
    </row>
  </sheetData>
  <mergeCells count="2">
    <mergeCell ref="A11:D11"/>
    <mergeCell ref="A21:D21"/>
  </mergeCells>
  <conditionalFormatting sqref="C7">
    <cfRule type="expression" priority="2" aboveAverage="0" equalAverage="0" bottom="0" percent="0" rank="0" text="" dxfId="0">
      <formula>$B$6="PV"</formula>
    </cfRule>
  </conditionalFormatting>
  <conditionalFormatting sqref="C8">
    <cfRule type="expression" priority="3" aboveAverage="0" equalAverage="0" bottom="0" percent="0" rank="0" text="" dxfId="0">
      <formula>$B$6="CF"</formula>
    </cfRule>
  </conditionalFormatting>
  <conditionalFormatting sqref="C9">
    <cfRule type="expression" priority="4" aboveAverage="0" equalAverage="0" bottom="0" percent="0" rank="0" text="" dxfId="0">
      <formula>$B$6="R"</formula>
    </cfRule>
  </conditionalFormatting>
  <conditionalFormatting sqref="C16">
    <cfRule type="expression" priority="5" aboveAverage="0" equalAverage="0" bottom="0" percent="0" rank="0" text="" dxfId="0">
      <formula>$B$15="PV"</formula>
    </cfRule>
  </conditionalFormatting>
  <conditionalFormatting sqref="C17">
    <cfRule type="expression" priority="6" aboveAverage="0" equalAverage="0" bottom="0" percent="0" rank="0" text="" dxfId="0">
      <formula>$B$15="CF"</formula>
    </cfRule>
  </conditionalFormatting>
  <conditionalFormatting sqref="C18">
    <cfRule type="expression" priority="7" aboveAverage="0" equalAverage="0" bottom="0" percent="0" rank="0" text="" dxfId="0">
      <formula>$B$15="R"</formula>
    </cfRule>
  </conditionalFormatting>
  <conditionalFormatting sqref="C19">
    <cfRule type="expression" priority="8" aboveAverage="0" equalAverage="0" bottom="0" percent="0" rank="0" text="" dxfId="0">
      <formula>$B$15="g"</formula>
    </cfRule>
  </conditionalFormatting>
  <dataValidations count="2">
    <dataValidation allowBlank="false" error="Pick one of: PV, CF, R" errorStyle="stop" errorTitle="Solve for" operator="between" prompt="Choose the variable to solve for" promptTitle="Solve for" showDropDown="false" showErrorMessage="false" showInputMessage="false" sqref="B6" type="list">
      <formula1>"PV,CF,R"</formula1>
      <formula2>0</formula2>
    </dataValidation>
    <dataValidation allowBlank="false" error="Pick one of: PV, CF, R, g" errorStyle="stop" errorTitle="Solve for" operator="between" prompt="Choose the variable to solve for" promptTitle="Solve for" showDropDown="false" showErrorMessage="false" showInputMessage="false" sqref="B15" type="list">
      <formula1>"PV,CF,R,g"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A02C"/>
    <pageSetUpPr fitToPage="false"/>
  </sheetPr>
  <dimension ref="A1:E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52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220</v>
      </c>
    </row>
    <row r="2" customFormat="false" ht="15" hidden="false" customHeight="false" outlineLevel="0" collapsed="false">
      <c r="A2" s="2" t="s">
        <v>221</v>
      </c>
    </row>
    <row r="4" customFormat="false" ht="15" hidden="false" customHeight="false" outlineLevel="0" collapsed="false">
      <c r="A4" s="3" t="s">
        <v>222</v>
      </c>
      <c r="B4" s="4"/>
      <c r="C4" s="4"/>
      <c r="D4" s="4"/>
    </row>
    <row r="5" customFormat="false" ht="15" hidden="false" customHeight="false" outlineLevel="0" collapsed="false">
      <c r="A5" s="11" t="s">
        <v>96</v>
      </c>
      <c r="B5" s="11" t="s">
        <v>97</v>
      </c>
      <c r="C5" s="11" t="s">
        <v>98</v>
      </c>
      <c r="D5" s="11" t="s">
        <v>99</v>
      </c>
    </row>
    <row r="6" customFormat="false" ht="15" hidden="false" customHeight="false" outlineLevel="0" collapsed="false">
      <c r="A6" s="12" t="s">
        <v>100</v>
      </c>
      <c r="B6" s="15" t="s">
        <v>201</v>
      </c>
    </row>
    <row r="7" customFormat="false" ht="15" hidden="false" customHeight="false" outlineLevel="0" collapsed="false">
      <c r="A7" s="17" t="s">
        <v>223</v>
      </c>
      <c r="B7" s="18" t="n">
        <v>16000</v>
      </c>
      <c r="C7" s="19" t="n">
        <f aca="false">IF($B$6="PV",B8/B9*(1-1/(1+B9)^B10),B7)</f>
        <v>16000</v>
      </c>
      <c r="D7" s="6" t="s">
        <v>61</v>
      </c>
    </row>
    <row r="8" customFormat="false" ht="15" hidden="false" customHeight="false" outlineLevel="0" collapsed="false">
      <c r="A8" s="17" t="s">
        <v>224</v>
      </c>
      <c r="B8" s="18"/>
      <c r="C8" s="19" t="n">
        <f aca="false">IF($B$6="CF",B7*B9/(1-1/(1+B9)^B10),B8)</f>
        <v>469.999993730597</v>
      </c>
      <c r="D8" s="6" t="s">
        <v>225</v>
      </c>
    </row>
    <row r="9" customFormat="false" ht="15" hidden="false" customHeight="false" outlineLevel="0" collapsed="false">
      <c r="A9" s="17" t="s">
        <v>226</v>
      </c>
      <c r="B9" s="20" t="n">
        <v>0.015</v>
      </c>
      <c r="C9" s="21" t="n">
        <f aca="false">IF($B$6="R",RATE(B10,-B8,B7),B9)</f>
        <v>0.015</v>
      </c>
      <c r="D9" s="6" t="s">
        <v>227</v>
      </c>
    </row>
    <row r="10" customFormat="false" ht="23.85" hidden="false" customHeight="false" outlineLevel="0" collapsed="false">
      <c r="A10" s="17" t="s">
        <v>228</v>
      </c>
      <c r="B10" s="18" t="n">
        <v>48</v>
      </c>
      <c r="C10" s="19" t="n">
        <f aca="false">IF($B$6="T",-LN(1-B7*B9/B8)/LN(1+B9),B10)</f>
        <v>48</v>
      </c>
      <c r="D10" s="6" t="s">
        <v>229</v>
      </c>
    </row>
    <row r="11" customFormat="false" ht="15" hidden="false" customHeight="false" outlineLevel="0" collapsed="false">
      <c r="A11" s="12" t="s">
        <v>111</v>
      </c>
      <c r="B11" s="22" t="str">
        <f aca="false">IF($B$6="R",TEXT(C9,"0.00%"),IF($B$6="T",TEXT(C10,"0.00")&amp;" periods",IF($B$6="PV",TEXT(C7,"#,##0.00"),TEXT(C8,"#,##0.00"))))</f>
        <v>470.00</v>
      </c>
      <c r="D11" s="23" t="str">
        <f aca="false">"Solved for "&amp;$B$6</f>
        <v>Solved for CF</v>
      </c>
    </row>
    <row r="12" customFormat="false" ht="15" hidden="false" customHeight="false" outlineLevel="0" collapsed="false">
      <c r="A12" s="17" t="s">
        <v>112</v>
      </c>
      <c r="B12" s="24" t="n">
        <f aca="false">IF($B$6="PV",PV(B9,B10,-B8),IF($B$6="CF",PMT(B9,B10,-B7),IF($B$6="R",RATE(B10,-B8,B7),NPER(B9,-B8,B7))))</f>
        <v>469.999993730595</v>
      </c>
      <c r="D12" s="6" t="s">
        <v>230</v>
      </c>
    </row>
    <row r="14" customFormat="false" ht="15" hidden="false" customHeight="false" outlineLevel="0" collapsed="false">
      <c r="A14" s="3" t="s">
        <v>231</v>
      </c>
      <c r="B14" s="4"/>
      <c r="C14" s="4"/>
      <c r="D14" s="4"/>
    </row>
    <row r="15" customFormat="false" ht="15" hidden="false" customHeight="false" outlineLevel="0" collapsed="false">
      <c r="A15" s="17" t="s">
        <v>232</v>
      </c>
      <c r="B15" s="19" t="n">
        <f aca="false">C8/C9</f>
        <v>31333.3329153732</v>
      </c>
    </row>
    <row r="16" customFormat="false" ht="15" hidden="false" customHeight="false" outlineLevel="0" collapsed="false">
      <c r="A16" s="17" t="s">
        <v>233</v>
      </c>
      <c r="B16" s="19" t="n">
        <f aca="false">C8/C9/(1+C9)^C10</f>
        <v>15333.3329153732</v>
      </c>
    </row>
    <row r="17" customFormat="false" ht="15" hidden="false" customHeight="false" outlineLevel="0" collapsed="false">
      <c r="A17" s="12" t="s">
        <v>234</v>
      </c>
      <c r="B17" s="30" t="n">
        <f aca="false">B15-B16</f>
        <v>16000</v>
      </c>
      <c r="D17" s="23" t="str">
        <f aca="false">IF(ABS(B17-C7)&lt;0.000001*MAX(1,ABS(C7)),"✓ equals the PV in the solver","✗")</f>
        <v>✓ equals the PV in the solver</v>
      </c>
    </row>
    <row r="18" customFormat="false" ht="15" hidden="false" customHeight="false" outlineLevel="0" collapsed="false">
      <c r="A18" s="17" t="s">
        <v>235</v>
      </c>
      <c r="B18" s="24" t="n">
        <f aca="false">(1-1/(1+C9)^C10)/C9</f>
        <v>34.0425536455882</v>
      </c>
      <c r="D18" s="6" t="s">
        <v>236</v>
      </c>
    </row>
    <row r="19" customFormat="false" ht="15" hidden="false" customHeight="false" outlineLevel="0" collapsed="false">
      <c r="A19" s="17" t="s">
        <v>237</v>
      </c>
      <c r="B19" s="19" t="n">
        <f aca="false">C8*((1+C9)^C10-1)/C9</f>
        <v>32695.6526290077</v>
      </c>
      <c r="D19" s="6" t="s">
        <v>238</v>
      </c>
    </row>
    <row r="20" customFormat="false" ht="15" hidden="false" customHeight="false" outlineLevel="0" collapsed="false">
      <c r="A20" s="17" t="s">
        <v>239</v>
      </c>
      <c r="B20" s="19" t="n">
        <f aca="false">C7*(1+C9)^C10</f>
        <v>32695.6526290077</v>
      </c>
      <c r="D20" s="23" t="str">
        <f aca="false">IF(ABS(B20-B19)&lt;0.000001*MAX(1,ABS(B19)),"✓ same","✗")</f>
        <v>✓ same</v>
      </c>
    </row>
    <row r="22" customFormat="false" ht="15" hidden="false" customHeight="false" outlineLevel="0" collapsed="false">
      <c r="A22" s="3" t="s">
        <v>240</v>
      </c>
      <c r="B22" s="4"/>
      <c r="C22" s="4"/>
      <c r="D22" s="4"/>
    </row>
    <row r="23" customFormat="false" ht="15" hidden="false" customHeight="false" outlineLevel="0" collapsed="false">
      <c r="A23" s="11" t="s">
        <v>96</v>
      </c>
      <c r="B23" s="11" t="s">
        <v>97</v>
      </c>
      <c r="C23" s="11" t="s">
        <v>98</v>
      </c>
      <c r="D23" s="11" t="s">
        <v>99</v>
      </c>
    </row>
    <row r="24" customFormat="false" ht="15" hidden="false" customHeight="false" outlineLevel="0" collapsed="false">
      <c r="A24" s="12" t="s">
        <v>100</v>
      </c>
      <c r="B24" s="15" t="s">
        <v>201</v>
      </c>
    </row>
    <row r="25" customFormat="false" ht="15" hidden="false" customHeight="false" outlineLevel="0" collapsed="false">
      <c r="A25" s="17" t="s">
        <v>192</v>
      </c>
      <c r="B25" s="18" t="n">
        <v>16000</v>
      </c>
      <c r="C25" s="19" t="n">
        <f aca="false">IF($B$24="PV",IF(B27=B28,B26*B29/(1+B27),B26/(B27-B28)*(1-((1+B28)/(1+B27))^B29)),B25)</f>
        <v>16000</v>
      </c>
      <c r="D25" s="6" t="s">
        <v>241</v>
      </c>
    </row>
    <row r="26" customFormat="false" ht="15" hidden="false" customHeight="false" outlineLevel="0" collapsed="false">
      <c r="A26" s="17" t="s">
        <v>242</v>
      </c>
      <c r="B26" s="18"/>
      <c r="C26" s="19" t="n">
        <f aca="false">IF($B$24="CF",B25*(B27-B28)/(1-((1+B28)/(1+B27))^B29),B26)</f>
        <v>422.976875553208</v>
      </c>
      <c r="D26" s="6" t="s">
        <v>243</v>
      </c>
    </row>
    <row r="27" customFormat="false" ht="15" hidden="false" customHeight="false" outlineLevel="0" collapsed="false">
      <c r="A27" s="17" t="s">
        <v>244</v>
      </c>
      <c r="B27" s="20" t="n">
        <v>0.015</v>
      </c>
      <c r="C27" s="21" t="n">
        <f aca="false">B27</f>
        <v>0.015</v>
      </c>
      <c r="D27" s="6" t="s">
        <v>245</v>
      </c>
    </row>
    <row r="28" customFormat="false" ht="15" hidden="false" customHeight="false" outlineLevel="0" collapsed="false">
      <c r="A28" s="17" t="s">
        <v>197</v>
      </c>
      <c r="B28" s="20" t="n">
        <v>0.005</v>
      </c>
      <c r="C28" s="21" t="n">
        <f aca="false">B28</f>
        <v>0.005</v>
      </c>
      <c r="D28" s="6" t="s">
        <v>246</v>
      </c>
    </row>
    <row r="29" customFormat="false" ht="15" hidden="false" customHeight="false" outlineLevel="0" collapsed="false">
      <c r="A29" s="17" t="s">
        <v>247</v>
      </c>
      <c r="B29" s="18" t="n">
        <v>48</v>
      </c>
      <c r="C29" s="19" t="n">
        <f aca="false">IF($B$24="T",LN(1-B25*(B27-B28)/B26)/LN((1+B28)/(1+B27)),B29)</f>
        <v>48</v>
      </c>
      <c r="D29" s="6" t="s">
        <v>248</v>
      </c>
    </row>
    <row r="30" customFormat="false" ht="15" hidden="false" customHeight="false" outlineLevel="0" collapsed="false">
      <c r="A30" s="12" t="s">
        <v>111</v>
      </c>
      <c r="B30" s="22" t="str">
        <f aca="false">IF($B$24="T",TEXT(C29,"0.00")&amp;" periods",IF($B$24="PV",TEXT(C25,"#,##0.00"),TEXT(C26,"#,##0.00")))</f>
        <v>422.98</v>
      </c>
      <c r="D30" s="23" t="str">
        <f aca="false">"Solved for "&amp;$B$24</f>
        <v>Solved for CF</v>
      </c>
    </row>
    <row r="31" customFormat="false" ht="15" hidden="false" customHeight="false" outlineLevel="0" collapsed="false">
      <c r="A31" s="17" t="s">
        <v>249</v>
      </c>
      <c r="B31" s="19" t="n">
        <f aca="false">C26/(C27-C28)</f>
        <v>42297.6875553208</v>
      </c>
    </row>
    <row r="32" customFormat="false" ht="15" hidden="false" customHeight="false" outlineLevel="0" collapsed="false">
      <c r="A32" s="17" t="s">
        <v>250</v>
      </c>
      <c r="B32" s="19" t="n">
        <f aca="false">C26*(1+C28)^C29/(C27-C28)/(1+C27)^C29</f>
        <v>26297.6875553207</v>
      </c>
    </row>
    <row r="33" customFormat="false" ht="15" hidden="false" customHeight="false" outlineLevel="0" collapsed="false">
      <c r="A33" s="12" t="s">
        <v>251</v>
      </c>
      <c r="B33" s="30" t="n">
        <f aca="false">B31-B32</f>
        <v>16000</v>
      </c>
      <c r="D33" s="23" t="str">
        <f aca="false">IF(ABS(B33-C25)&lt;0.000001*MAX(1,ABS(C25)),"✓ equals the PV in the solver","✗")</f>
        <v>✓ equals the PV in the solver</v>
      </c>
    </row>
    <row r="34" customFormat="false" ht="15" hidden="false" customHeight="false" outlineLevel="0" collapsed="false">
      <c r="A34" s="17" t="s">
        <v>252</v>
      </c>
      <c r="B34" s="19" t="n">
        <f aca="false">C26/(C27-C28)*((1+C27)^C29-(1+C28)^C29)</f>
        <v>32695.6526290077</v>
      </c>
      <c r="D34" s="23" t="str">
        <f aca="false">IF(ABS(B34-C25*(1+C27)^C29)&lt;0.000001*MAX(1,ABS(B34)),"✓ equals PV × (1+R)^T","✗")</f>
        <v>✓ equals PV × (1+R)^T</v>
      </c>
    </row>
    <row r="36" customFormat="false" ht="15" hidden="false" customHeight="false" outlineLevel="0" collapsed="false">
      <c r="A36" s="3" t="s">
        <v>253</v>
      </c>
      <c r="B36" s="4"/>
      <c r="C36" s="4"/>
      <c r="D36" s="4"/>
      <c r="E36" s="4"/>
    </row>
    <row r="37" customFormat="false" ht="15" hidden="false" customHeight="false" outlineLevel="0" collapsed="false">
      <c r="A37" s="17" t="s">
        <v>254</v>
      </c>
      <c r="B37" s="18" t="n">
        <v>16000</v>
      </c>
    </row>
    <row r="38" customFormat="false" ht="15" hidden="false" customHeight="false" outlineLevel="0" collapsed="false">
      <c r="A38" s="17" t="s">
        <v>255</v>
      </c>
      <c r="B38" s="20" t="n">
        <v>0.015</v>
      </c>
    </row>
    <row r="39" customFormat="false" ht="15" hidden="false" customHeight="false" outlineLevel="0" collapsed="false">
      <c r="A39" s="17" t="s">
        <v>256</v>
      </c>
      <c r="B39" s="18" t="n">
        <v>48</v>
      </c>
    </row>
    <row r="40" customFormat="false" ht="15" hidden="false" customHeight="false" outlineLevel="0" collapsed="false">
      <c r="A40" s="17" t="s">
        <v>257</v>
      </c>
      <c r="B40" s="20" t="n">
        <v>0.005</v>
      </c>
    </row>
    <row r="41" customFormat="false" ht="15" hidden="false" customHeight="false" outlineLevel="0" collapsed="false">
      <c r="A41" s="11" t="s">
        <v>258</v>
      </c>
      <c r="B41" s="11" t="s">
        <v>129</v>
      </c>
      <c r="C41" s="11" t="s">
        <v>11</v>
      </c>
      <c r="D41" s="11" t="s">
        <v>259</v>
      </c>
      <c r="E41" s="11" t="s">
        <v>130</v>
      </c>
    </row>
    <row r="42" customFormat="false" ht="43.5" hidden="false" customHeight="true" outlineLevel="0" collapsed="false">
      <c r="A42" s="40" t="s">
        <v>260</v>
      </c>
      <c r="B42" s="30" t="n">
        <f aca="false">B37*B38/(1-1/(1+B38)^B39)</f>
        <v>469.999993730597</v>
      </c>
      <c r="C42" s="31" t="n">
        <v>470</v>
      </c>
      <c r="D42" s="6" t="s">
        <v>261</v>
      </c>
      <c r="E42" s="25" t="str">
        <f aca="false">IF(ABS(B42-C42)/ABS(C42)&lt;0.005,"✓","✗")</f>
        <v>✓</v>
      </c>
    </row>
    <row r="43" customFormat="false" ht="43.5" hidden="false" customHeight="true" outlineLevel="0" collapsed="false">
      <c r="A43" s="40" t="s">
        <v>262</v>
      </c>
      <c r="B43" s="30" t="n">
        <f aca="false">B37*(B38-B40)/(1-((1+B40)/(1+B38))^B39)</f>
        <v>422.976875553208</v>
      </c>
      <c r="C43" s="31" t="n">
        <v>423</v>
      </c>
      <c r="D43" s="6" t="s">
        <v>263</v>
      </c>
      <c r="E43" s="25" t="str">
        <f aca="false">IF(ABS(B43-C43)/ABS(C43)&lt;0.005,"✓","✗")</f>
        <v>✓</v>
      </c>
    </row>
    <row r="44" customFormat="false" ht="43.5" hidden="false" customHeight="true" outlineLevel="0" collapsed="false">
      <c r="A44" s="40" t="s">
        <v>264</v>
      </c>
      <c r="B44" s="30" t="n">
        <f aca="false">B42*((1+B38)^B39-1)/B38</f>
        <v>32695.6526290077</v>
      </c>
      <c r="C44" s="29" t="n">
        <v>32696</v>
      </c>
      <c r="D44" s="6" t="s">
        <v>265</v>
      </c>
      <c r="E44" s="25" t="str">
        <f aca="false">IF(ABS(B44-C44)/ABS(C44)&lt;0.005,"✓","✗")</f>
        <v>✓</v>
      </c>
    </row>
    <row r="45" customFormat="false" ht="43.5" hidden="false" customHeight="true" outlineLevel="0" collapsed="false">
      <c r="A45" s="40" t="s">
        <v>266</v>
      </c>
      <c r="B45" s="30" t="n">
        <f aca="false">B37*(1+B38)^B39</f>
        <v>32695.6526290077</v>
      </c>
      <c r="C45" s="29" t="n">
        <v>32696</v>
      </c>
      <c r="D45" s="6" t="s">
        <v>267</v>
      </c>
      <c r="E45" s="25" t="str">
        <f aca="false">IF(ABS(B45-C45)/ABS(C45)&lt;0.005,"✓","✗")</f>
        <v>✓</v>
      </c>
    </row>
    <row r="46" customFormat="false" ht="42" hidden="false" customHeight="true" outlineLevel="0" collapsed="false">
      <c r="A46" s="6" t="s">
        <v>268</v>
      </c>
      <c r="B46" s="6"/>
      <c r="C46" s="6"/>
      <c r="D46" s="6"/>
      <c r="E46" s="6"/>
    </row>
  </sheetData>
  <mergeCells count="1">
    <mergeCell ref="A46:E46"/>
  </mergeCells>
  <conditionalFormatting sqref="C7">
    <cfRule type="expression" priority="2" aboveAverage="0" equalAverage="0" bottom="0" percent="0" rank="0" text="" dxfId="0">
      <formula>$B$6="PV"</formula>
    </cfRule>
  </conditionalFormatting>
  <conditionalFormatting sqref="C8">
    <cfRule type="expression" priority="3" aboveAverage="0" equalAverage="0" bottom="0" percent="0" rank="0" text="" dxfId="0">
      <formula>$B$6="CF"</formula>
    </cfRule>
  </conditionalFormatting>
  <conditionalFormatting sqref="C9">
    <cfRule type="expression" priority="4" aboveAverage="0" equalAverage="0" bottom="0" percent="0" rank="0" text="" dxfId="0">
      <formula>$B$6="R"</formula>
    </cfRule>
  </conditionalFormatting>
  <conditionalFormatting sqref="C10">
    <cfRule type="expression" priority="5" aboveAverage="0" equalAverage="0" bottom="0" percent="0" rank="0" text="" dxfId="0">
      <formula>$B$6="T"</formula>
    </cfRule>
  </conditionalFormatting>
  <conditionalFormatting sqref="C25">
    <cfRule type="expression" priority="6" aboveAverage="0" equalAverage="0" bottom="0" percent="0" rank="0" text="" dxfId="0">
      <formula>$B$24="PV"</formula>
    </cfRule>
  </conditionalFormatting>
  <conditionalFormatting sqref="C26">
    <cfRule type="expression" priority="7" aboveAverage="0" equalAverage="0" bottom="0" percent="0" rank="0" text="" dxfId="0">
      <formula>$B$24="CF"</formula>
    </cfRule>
  </conditionalFormatting>
  <conditionalFormatting sqref="C29">
    <cfRule type="expression" priority="8" aboveAverage="0" equalAverage="0" bottom="0" percent="0" rank="0" text="" dxfId="0">
      <formula>$B$24="T"</formula>
    </cfRule>
  </conditionalFormatting>
  <dataValidations count="2">
    <dataValidation allowBlank="false" error="Pick one of: PV, CF, R, T" errorStyle="stop" errorTitle="Solve for" operator="between" prompt="Choose the variable to solve for" promptTitle="Solve for" showDropDown="false" showErrorMessage="false" showInputMessage="false" sqref="B6" type="list">
      <formula1>"PV,CF,R,T"</formula1>
      <formula2>0</formula2>
    </dataValidation>
    <dataValidation allowBlank="false" error="Pick one of: PV, CF, T" errorStyle="stop" errorTitle="Solve for" operator="between" prompt="Choose the variable to solve for" promptTitle="Solve for" showDropDown="false" showErrorMessage="false" showInputMessage="false" sqref="B24" type="list">
      <formula1>"PV,CF,T"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A02C"/>
    <pageSetUpPr fitToPage="false"/>
  </sheetPr>
  <dimension ref="A1:I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6" topLeftCell="A1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6"/>
    <col collapsed="false" customWidth="true" hidden="false" outlineLevel="0" max="8" min="5" style="0" width="18"/>
    <col collapsed="false" customWidth="true" hidden="false" outlineLevel="0" max="9" min="9" style="0" width="20"/>
  </cols>
  <sheetData>
    <row r="1" customFormat="false" ht="17.35" hidden="false" customHeight="false" outlineLevel="0" collapsed="false">
      <c r="A1" s="1" t="s">
        <v>269</v>
      </c>
    </row>
    <row r="2" customFormat="false" ht="15" hidden="false" customHeight="false" outlineLevel="0" collapsed="false">
      <c r="A2" s="2" t="s">
        <v>270</v>
      </c>
    </row>
    <row r="4" customFormat="false" ht="15" hidden="false" customHeight="false" outlineLevel="0" collapsed="false">
      <c r="A4" s="3" t="s">
        <v>271</v>
      </c>
      <c r="B4" s="4"/>
      <c r="C4" s="4"/>
      <c r="D4" s="3" t="s">
        <v>272</v>
      </c>
      <c r="E4" s="4"/>
      <c r="F4" s="4"/>
      <c r="G4" s="4"/>
    </row>
    <row r="5" customFormat="false" ht="15" hidden="false" customHeight="false" outlineLevel="0" collapsed="false">
      <c r="A5" s="17" t="s">
        <v>254</v>
      </c>
      <c r="B5" s="41" t="n">
        <f aca="false">'4 Annuities'!C7</f>
        <v>16000</v>
      </c>
      <c r="D5" s="17" t="s">
        <v>273</v>
      </c>
      <c r="G5" s="30" t="n">
        <f aca="false">ROUND(INDEX(E17:E136,B7),2)</f>
        <v>0</v>
      </c>
    </row>
    <row r="6" customFormat="false" ht="15" hidden="false" customHeight="false" outlineLevel="0" collapsed="false">
      <c r="A6" s="17" t="s">
        <v>274</v>
      </c>
      <c r="B6" s="42" t="n">
        <f aca="false">'4 Annuities'!C9</f>
        <v>0.015</v>
      </c>
      <c r="D6" s="17" t="s">
        <v>275</v>
      </c>
      <c r="G6" s="30" t="n">
        <f aca="false">ROUND(INDEX(H17:H136,B12),2)</f>
        <v>0</v>
      </c>
    </row>
    <row r="7" customFormat="false" ht="15" hidden="false" customHeight="false" outlineLevel="0" collapsed="false">
      <c r="A7" s="17" t="s">
        <v>276</v>
      </c>
      <c r="B7" s="41" t="n">
        <f aca="false">'4 Annuities'!C10</f>
        <v>48</v>
      </c>
      <c r="D7" s="17" t="s">
        <v>277</v>
      </c>
      <c r="G7" s="30" t="n">
        <f aca="false">INDEX(I17:I136,B7)</f>
        <v>32695.6526290079</v>
      </c>
    </row>
    <row r="8" customFormat="false" ht="15" hidden="false" customHeight="false" outlineLevel="0" collapsed="false">
      <c r="A8" s="17" t="s">
        <v>278</v>
      </c>
      <c r="B8" s="41" t="n">
        <f aca="false">'4 Annuities'!C8</f>
        <v>469.999993730597</v>
      </c>
      <c r="D8" s="17" t="s">
        <v>279</v>
      </c>
      <c r="G8" s="30" t="n">
        <f aca="false">B5*(1+B6)^B7</f>
        <v>32695.6526290077</v>
      </c>
    </row>
    <row r="9" customFormat="false" ht="15" hidden="false" customHeight="false" outlineLevel="0" collapsed="false">
      <c r="A9" s="17" t="s">
        <v>280</v>
      </c>
      <c r="B9" s="41" t="n">
        <f aca="false">'4 Annuities'!C25</f>
        <v>16000</v>
      </c>
      <c r="D9" s="23" t="str">
        <f aca="false">IF(ABS(G7-G8)&lt;0.01,"✓ savings = FV of the debt (slide 28)","✗")</f>
        <v>✓ savings = FV of the debt (slide 28)</v>
      </c>
    </row>
    <row r="10" customFormat="false" ht="15" hidden="false" customHeight="false" outlineLevel="0" collapsed="false">
      <c r="A10" s="17" t="s">
        <v>281</v>
      </c>
      <c r="B10" s="42" t="n">
        <f aca="false">'4 Annuities'!C27</f>
        <v>0.015</v>
      </c>
      <c r="D10" s="17" t="s">
        <v>282</v>
      </c>
      <c r="G10" s="19" t="n">
        <f aca="false">SUM(C17:C136)</f>
        <v>6559.99969906855</v>
      </c>
    </row>
    <row r="11" customFormat="false" ht="15" hidden="false" customHeight="false" outlineLevel="0" collapsed="false">
      <c r="A11" s="17" t="s">
        <v>283</v>
      </c>
      <c r="B11" s="42" t="n">
        <f aca="false">'4 Annuities'!C28</f>
        <v>0.005</v>
      </c>
      <c r="D11" s="17" t="s">
        <v>284</v>
      </c>
      <c r="G11" s="19" t="n">
        <f aca="false">SUM(D17:D136)</f>
        <v>22559.9996990687</v>
      </c>
    </row>
    <row r="12" customFormat="false" ht="15" hidden="false" customHeight="false" outlineLevel="0" collapsed="false">
      <c r="A12" s="17" t="s">
        <v>285</v>
      </c>
      <c r="B12" s="41" t="n">
        <f aca="false">'4 Annuities'!C29</f>
        <v>48</v>
      </c>
      <c r="D12" s="17" t="s">
        <v>286</v>
      </c>
      <c r="G12" s="19" t="n">
        <f aca="false">SUM(G17:G136)</f>
        <v>22882.1320462271</v>
      </c>
    </row>
    <row r="13" customFormat="false" ht="15" hidden="false" customHeight="false" outlineLevel="0" collapsed="false">
      <c r="A13" s="17" t="s">
        <v>287</v>
      </c>
      <c r="B13" s="41" t="n">
        <f aca="false">'4 Annuities'!C26</f>
        <v>422.976875553208</v>
      </c>
      <c r="D13" s="16" t="s">
        <v>288</v>
      </c>
    </row>
    <row r="15" customFormat="false" ht="15" hidden="false" customHeight="false" outlineLevel="0" collapsed="false">
      <c r="A15" s="3" t="s">
        <v>289</v>
      </c>
      <c r="B15" s="4"/>
      <c r="C15" s="4"/>
      <c r="D15" s="4"/>
      <c r="E15" s="4"/>
      <c r="F15" s="4"/>
      <c r="G15" s="4"/>
      <c r="H15" s="4"/>
      <c r="I15" s="4"/>
    </row>
    <row r="16" customFormat="false" ht="23.85" hidden="false" customHeight="false" outlineLevel="0" collapsed="false">
      <c r="A16" s="11" t="s">
        <v>290</v>
      </c>
      <c r="B16" s="11" t="s">
        <v>291</v>
      </c>
      <c r="C16" s="11" t="s">
        <v>292</v>
      </c>
      <c r="D16" s="11" t="s">
        <v>293</v>
      </c>
      <c r="E16" s="11" t="s">
        <v>294</v>
      </c>
      <c r="F16" s="11" t="s">
        <v>295</v>
      </c>
      <c r="G16" s="11" t="s">
        <v>296</v>
      </c>
      <c r="H16" s="11" t="s">
        <v>297</v>
      </c>
      <c r="I16" s="11" t="s">
        <v>298</v>
      </c>
    </row>
    <row r="17" customFormat="false" ht="15" hidden="false" customHeight="false" outlineLevel="0" collapsed="false">
      <c r="A17" s="13" t="n">
        <v>1</v>
      </c>
      <c r="B17" s="43" t="n">
        <f aca="false">IF(A17&gt;$B$7,"",IF(A17=1,$B$5,E16))</f>
        <v>16000</v>
      </c>
      <c r="C17" s="43" t="n">
        <f aca="false">IF(A17&gt;$B$7,"",B17*$B$6)</f>
        <v>240</v>
      </c>
      <c r="D17" s="43" t="n">
        <f aca="false">IF(A17&gt;$B$7,"",$B$8)</f>
        <v>469.999993730597</v>
      </c>
      <c r="E17" s="19" t="n">
        <f aca="false">IF(A17&gt;$B$7,0,IF(ABS(B17+C17-D17)&lt;0.005,0,B17+C17-D17))</f>
        <v>15770.0000062694</v>
      </c>
      <c r="F17" s="43" t="n">
        <f aca="false">IF(A17&gt;$B$12,"",IF(A17=1,$B$9,H16))</f>
        <v>16000</v>
      </c>
      <c r="G17" s="43" t="n">
        <f aca="false">IF(A17&gt;$B$12,"",$B$13*(1+$B$11)^(A17-1))</f>
        <v>422.976875553208</v>
      </c>
      <c r="H17" s="19" t="n">
        <f aca="false">IF(A17&gt;$B$12,0,IF(ABS(F17*(1+$B$10)-G17)&lt;0.005,0,F17*(1+$B$10)-G17))</f>
        <v>15817.0231244468</v>
      </c>
      <c r="I17" s="43" t="n">
        <f aca="false">IF(A17&gt;$B$7,0,$B$8)</f>
        <v>469.999993730597</v>
      </c>
    </row>
    <row r="18" customFormat="false" ht="15" hidden="false" customHeight="false" outlineLevel="0" collapsed="false">
      <c r="A18" s="13" t="n">
        <v>2</v>
      </c>
      <c r="B18" s="43" t="n">
        <f aca="false">IF(A18&gt;$B$7,"",IF(A18=1,$B$5,E17))</f>
        <v>15770.0000062694</v>
      </c>
      <c r="C18" s="43" t="n">
        <f aca="false">IF(A18&gt;$B$7,"",B18*$B$6)</f>
        <v>236.550000094041</v>
      </c>
      <c r="D18" s="43" t="n">
        <f aca="false">IF(A18&gt;$B$7,"",$B$8)</f>
        <v>469.999993730597</v>
      </c>
      <c r="E18" s="19" t="n">
        <f aca="false">IF(A18&gt;$B$7,0,IF(ABS(B18+C18-D18)&lt;0.005,0,B18+C18-D18))</f>
        <v>15536.5500126328</v>
      </c>
      <c r="F18" s="43" t="n">
        <f aca="false">IF(A18&gt;$B$12,"",IF(A18=1,$B$9,H17))</f>
        <v>15817.0231244468</v>
      </c>
      <c r="G18" s="43" t="n">
        <f aca="false">IF(A18&gt;$B$12,"",$B$13*(1+$B$11)^(A18-1))</f>
        <v>425.091759930974</v>
      </c>
      <c r="H18" s="19" t="n">
        <f aca="false">IF(A18&gt;$B$12,0,IF(ABS(F18*(1+$B$10)-G18)&lt;0.005,0,F18*(1+$B$10)-G18))</f>
        <v>15629.1867113825</v>
      </c>
      <c r="I18" s="43" t="n">
        <f aca="false">IF(A18&gt;$B$7,I17,I17*(1+$B$6)+$B$8)</f>
        <v>947.049987367154</v>
      </c>
    </row>
    <row r="19" customFormat="false" ht="15" hidden="false" customHeight="false" outlineLevel="0" collapsed="false">
      <c r="A19" s="13" t="n">
        <v>3</v>
      </c>
      <c r="B19" s="43" t="n">
        <f aca="false">IF(A19&gt;$B$7,"",IF(A19=1,$B$5,E18))</f>
        <v>15536.5500126328</v>
      </c>
      <c r="C19" s="43" t="n">
        <f aca="false">IF(A19&gt;$B$7,"",B19*$B$6)</f>
        <v>233.048250189493</v>
      </c>
      <c r="D19" s="43" t="n">
        <f aca="false">IF(A19&gt;$B$7,"",$B$8)</f>
        <v>469.999993730597</v>
      </c>
      <c r="E19" s="19" t="n">
        <f aca="false">IF(A19&gt;$B$7,0,IF(ABS(B19+C19-D19)&lt;0.005,0,B19+C19-D19))</f>
        <v>15299.5982690917</v>
      </c>
      <c r="F19" s="43" t="n">
        <f aca="false">IF(A19&gt;$B$12,"",IF(A19=1,$B$9,H18))</f>
        <v>15629.1867113825</v>
      </c>
      <c r="G19" s="43" t="n">
        <f aca="false">IF(A19&gt;$B$12,"",$B$13*(1+$B$11)^(A19-1))</f>
        <v>427.217218730628</v>
      </c>
      <c r="H19" s="19" t="n">
        <f aca="false">IF(A19&gt;$B$12,0,IF(ABS(F19*(1+$B$10)-G19)&lt;0.005,0,F19*(1+$B$10)-G19))</f>
        <v>15436.4072933226</v>
      </c>
      <c r="I19" s="43" t="n">
        <f aca="false">IF(A19&gt;$B$7,I18,I18*(1+$B$6)+$B$8)</f>
        <v>1431.25573090826</v>
      </c>
    </row>
    <row r="20" customFormat="false" ht="15" hidden="false" customHeight="false" outlineLevel="0" collapsed="false">
      <c r="A20" s="13" t="n">
        <v>4</v>
      </c>
      <c r="B20" s="43" t="n">
        <f aca="false">IF(A20&gt;$B$7,"",IF(A20=1,$B$5,E19))</f>
        <v>15299.5982690917</v>
      </c>
      <c r="C20" s="43" t="n">
        <f aca="false">IF(A20&gt;$B$7,"",B20*$B$6)</f>
        <v>229.493974036376</v>
      </c>
      <c r="D20" s="43" t="n">
        <f aca="false">IF(A20&gt;$B$7,"",$B$8)</f>
        <v>469.999993730597</v>
      </c>
      <c r="E20" s="19" t="n">
        <f aca="false">IF(A20&gt;$B$7,0,IF(ABS(B20+C20-D20)&lt;0.005,0,B20+C20-D20))</f>
        <v>15059.0922493975</v>
      </c>
      <c r="F20" s="43" t="n">
        <f aca="false">IF(A20&gt;$B$12,"",IF(A20=1,$B$9,H19))</f>
        <v>15436.4072933226</v>
      </c>
      <c r="G20" s="43" t="n">
        <f aca="false">IF(A20&gt;$B$12,"",$B$13*(1+$B$11)^(A20-1))</f>
        <v>429.353304824282</v>
      </c>
      <c r="H20" s="19" t="n">
        <f aca="false">IF(A20&gt;$B$12,0,IF(ABS(F20*(1+$B$10)-G20)&lt;0.005,0,F20*(1+$B$10)-G20))</f>
        <v>15238.6000978982</v>
      </c>
      <c r="I20" s="43" t="n">
        <f aca="false">IF(A20&gt;$B$7,I19,I19*(1+$B$6)+$B$8)</f>
        <v>1922.72456060248</v>
      </c>
    </row>
    <row r="21" customFormat="false" ht="15" hidden="false" customHeight="false" outlineLevel="0" collapsed="false">
      <c r="A21" s="13" t="n">
        <v>5</v>
      </c>
      <c r="B21" s="43" t="n">
        <f aca="false">IF(A21&gt;$B$7,"",IF(A21=1,$B$5,E20))</f>
        <v>15059.0922493975</v>
      </c>
      <c r="C21" s="43" t="n">
        <f aca="false">IF(A21&gt;$B$7,"",B21*$B$6)</f>
        <v>225.886383740963</v>
      </c>
      <c r="D21" s="43" t="n">
        <f aca="false">IF(A21&gt;$B$7,"",$B$8)</f>
        <v>469.999993730597</v>
      </c>
      <c r="E21" s="19" t="n">
        <f aca="false">IF(A21&gt;$B$7,0,IF(ABS(B21+C21-D21)&lt;0.005,0,B21+C21-D21))</f>
        <v>14814.9786394079</v>
      </c>
      <c r="F21" s="43" t="n">
        <f aca="false">IF(A21&gt;$B$12,"",IF(A21=1,$B$9,H20))</f>
        <v>15238.6000978982</v>
      </c>
      <c r="G21" s="43" t="n">
        <f aca="false">IF(A21&gt;$B$12,"",$B$13*(1+$B$11)^(A21-1))</f>
        <v>431.500071348403</v>
      </c>
      <c r="H21" s="19" t="n">
        <f aca="false">IF(A21&gt;$B$12,0,IF(ABS(F21*(1+$B$10)-G21)&lt;0.005,0,F21*(1+$B$10)-G21))</f>
        <v>15035.6790280183</v>
      </c>
      <c r="I21" s="43" t="n">
        <f aca="false">IF(A21&gt;$B$7,I20,I20*(1+$B$6)+$B$8)</f>
        <v>2421.56542274211</v>
      </c>
    </row>
    <row r="22" customFormat="false" ht="15" hidden="false" customHeight="false" outlineLevel="0" collapsed="false">
      <c r="A22" s="13" t="n">
        <v>6</v>
      </c>
      <c r="B22" s="43" t="n">
        <f aca="false">IF(A22&gt;$B$7,"",IF(A22=1,$B$5,E21))</f>
        <v>14814.9786394079</v>
      </c>
      <c r="C22" s="43" t="n">
        <f aca="false">IF(A22&gt;$B$7,"",B22*$B$6)</f>
        <v>222.224679591118</v>
      </c>
      <c r="D22" s="43" t="n">
        <f aca="false">IF(A22&gt;$B$7,"",$B$8)</f>
        <v>469.999993730597</v>
      </c>
      <c r="E22" s="19" t="n">
        <f aca="false">IF(A22&gt;$B$7,0,IF(ABS(B22+C22-D22)&lt;0.005,0,B22+C22-D22))</f>
        <v>14567.2033252684</v>
      </c>
      <c r="F22" s="43" t="n">
        <f aca="false">IF(A22&gt;$B$12,"",IF(A22=1,$B$9,H21))</f>
        <v>15035.6790280183</v>
      </c>
      <c r="G22" s="43" t="n">
        <f aca="false">IF(A22&gt;$B$12,"",$B$13*(1+$B$11)^(A22-1))</f>
        <v>433.657571705145</v>
      </c>
      <c r="H22" s="19" t="n">
        <f aca="false">IF(A22&gt;$B$12,0,IF(ABS(F22*(1+$B$10)-G22)&lt;0.005,0,F22*(1+$B$10)-G22))</f>
        <v>14827.5566417334</v>
      </c>
      <c r="I22" s="43" t="n">
        <f aca="false">IF(A22&gt;$B$7,I21,I21*(1+$B$6)+$B$8)</f>
        <v>2927.88889781384</v>
      </c>
    </row>
    <row r="23" customFormat="false" ht="15" hidden="false" customHeight="false" outlineLevel="0" collapsed="false">
      <c r="A23" s="13" t="n">
        <v>7</v>
      </c>
      <c r="B23" s="43" t="n">
        <f aca="false">IF(A23&gt;$B$7,"",IF(A23=1,$B$5,E22))</f>
        <v>14567.2033252684</v>
      </c>
      <c r="C23" s="43" t="n">
        <f aca="false">IF(A23&gt;$B$7,"",B23*$B$6)</f>
        <v>218.508049879026</v>
      </c>
      <c r="D23" s="43" t="n">
        <f aca="false">IF(A23&gt;$B$7,"",$B$8)</f>
        <v>469.999993730597</v>
      </c>
      <c r="E23" s="19" t="n">
        <f aca="false">IF(A23&gt;$B$7,0,IF(ABS(B23+C23-D23)&lt;0.005,0,B23+C23-D23))</f>
        <v>14315.7113814168</v>
      </c>
      <c r="F23" s="43" t="n">
        <f aca="false">IF(A23&gt;$B$12,"",IF(A23=1,$B$9,H22))</f>
        <v>14827.5566417334</v>
      </c>
      <c r="G23" s="43" t="n">
        <f aca="false">IF(A23&gt;$B$12,"",$B$13*(1+$B$11)^(A23-1))</f>
        <v>435.825859563671</v>
      </c>
      <c r="H23" s="19" t="n">
        <f aca="false">IF(A23&gt;$B$12,0,IF(ABS(F23*(1+$B$10)-G23)&lt;0.005,0,F23*(1+$B$10)-G23))</f>
        <v>14614.1441317957</v>
      </c>
      <c r="I23" s="43" t="n">
        <f aca="false">IF(A23&gt;$B$7,I22,I22*(1+$B$6)+$B$8)</f>
        <v>3441.80722501165</v>
      </c>
    </row>
    <row r="24" customFormat="false" ht="15" hidden="false" customHeight="false" outlineLevel="0" collapsed="false">
      <c r="A24" s="13" t="n">
        <v>8</v>
      </c>
      <c r="B24" s="43" t="n">
        <f aca="false">IF(A24&gt;$B$7,"",IF(A24=1,$B$5,E23))</f>
        <v>14315.7113814168</v>
      </c>
      <c r="C24" s="43" t="n">
        <f aca="false">IF(A24&gt;$B$7,"",B24*$B$6)</f>
        <v>214.735670721253</v>
      </c>
      <c r="D24" s="43" t="n">
        <f aca="false">IF(A24&gt;$B$7,"",$B$8)</f>
        <v>469.999993730597</v>
      </c>
      <c r="E24" s="19" t="n">
        <f aca="false">IF(A24&gt;$B$7,0,IF(ABS(B24+C24-D24)&lt;0.005,0,B24+C24-D24))</f>
        <v>14060.4470584075</v>
      </c>
      <c r="F24" s="43" t="n">
        <f aca="false">IF(A24&gt;$B$12,"",IF(A24=1,$B$9,H23))</f>
        <v>14614.1441317957</v>
      </c>
      <c r="G24" s="43" t="n">
        <f aca="false">IF(A24&gt;$B$12,"",$B$13*(1+$B$11)^(A24-1))</f>
        <v>438.004988861489</v>
      </c>
      <c r="H24" s="19" t="n">
        <f aca="false">IF(A24&gt;$B$12,0,IF(ABS(F24*(1+$B$10)-G24)&lt;0.005,0,F24*(1+$B$10)-G24))</f>
        <v>14395.3513049112</v>
      </c>
      <c r="I24" s="43" t="n">
        <f aca="false">IF(A24&gt;$B$7,I23,I23*(1+$B$6)+$B$8)</f>
        <v>3963.43432711742</v>
      </c>
    </row>
    <row r="25" customFormat="false" ht="15" hidden="false" customHeight="false" outlineLevel="0" collapsed="false">
      <c r="A25" s="13" t="n">
        <v>9</v>
      </c>
      <c r="B25" s="43" t="n">
        <f aca="false">IF(A25&gt;$B$7,"",IF(A25=1,$B$5,E24))</f>
        <v>14060.4470584075</v>
      </c>
      <c r="C25" s="43" t="n">
        <f aca="false">IF(A25&gt;$B$7,"",B25*$B$6)</f>
        <v>210.906705876112</v>
      </c>
      <c r="D25" s="43" t="n">
        <f aca="false">IF(A25&gt;$B$7,"",$B$8)</f>
        <v>469.999993730597</v>
      </c>
      <c r="E25" s="19" t="n">
        <f aca="false">IF(A25&gt;$B$7,0,IF(ABS(B25+C25-D25)&lt;0.005,0,B25+C25-D25))</f>
        <v>13801.353770553</v>
      </c>
      <c r="F25" s="43" t="n">
        <f aca="false">IF(A25&gt;$B$12,"",IF(A25=1,$B$9,H24))</f>
        <v>14395.3513049112</v>
      </c>
      <c r="G25" s="43" t="n">
        <f aca="false">IF(A25&gt;$B$12,"",$B$13*(1+$B$11)^(A25-1))</f>
        <v>440.195013805796</v>
      </c>
      <c r="H25" s="19" t="n">
        <f aca="false">IF(A25&gt;$B$12,0,IF(ABS(F25*(1+$B$10)-G25)&lt;0.005,0,F25*(1+$B$10)-G25))</f>
        <v>14171.086560679</v>
      </c>
      <c r="I25" s="43" t="n">
        <f aca="false">IF(A25&gt;$B$7,I24,I24*(1+$B$6)+$B$8)</f>
        <v>4492.88583575478</v>
      </c>
    </row>
    <row r="26" customFormat="false" ht="15" hidden="false" customHeight="false" outlineLevel="0" collapsed="false">
      <c r="A26" s="13" t="n">
        <v>10</v>
      </c>
      <c r="B26" s="43" t="n">
        <f aca="false">IF(A26&gt;$B$7,"",IF(A26=1,$B$5,E25))</f>
        <v>13801.353770553</v>
      </c>
      <c r="C26" s="43" t="n">
        <f aca="false">IF(A26&gt;$B$7,"",B26*$B$6)</f>
        <v>207.020306558295</v>
      </c>
      <c r="D26" s="43" t="n">
        <f aca="false">IF(A26&gt;$B$7,"",$B$8)</f>
        <v>469.999993730597</v>
      </c>
      <c r="E26" s="19" t="n">
        <f aca="false">IF(A26&gt;$B$7,0,IF(ABS(B26+C26-D26)&lt;0.005,0,B26+C26-D26))</f>
        <v>13538.3740833807</v>
      </c>
      <c r="F26" s="43" t="n">
        <f aca="false">IF(A26&gt;$B$12,"",IF(A26=1,$B$9,H25))</f>
        <v>14171.086560679</v>
      </c>
      <c r="G26" s="43" t="n">
        <f aca="false">IF(A26&gt;$B$12,"",$B$13*(1+$B$11)^(A26-1))</f>
        <v>442.395988874825</v>
      </c>
      <c r="H26" s="19" t="n">
        <f aca="false">IF(A26&gt;$B$12,0,IF(ABS(F26*(1+$B$10)-G26)&lt;0.005,0,F26*(1+$B$10)-G26))</f>
        <v>13941.2568702144</v>
      </c>
      <c r="I26" s="43" t="n">
        <f aca="false">IF(A26&gt;$B$7,I25,I25*(1+$B$6)+$B$8)</f>
        <v>5030.2791170217</v>
      </c>
    </row>
    <row r="27" customFormat="false" ht="15" hidden="false" customHeight="false" outlineLevel="0" collapsed="false">
      <c r="A27" s="13" t="n">
        <v>11</v>
      </c>
      <c r="B27" s="43" t="n">
        <f aca="false">IF(A27&gt;$B$7,"",IF(A27=1,$B$5,E26))</f>
        <v>13538.3740833807</v>
      </c>
      <c r="C27" s="43" t="n">
        <f aca="false">IF(A27&gt;$B$7,"",B27*$B$6)</f>
        <v>203.075611250711</v>
      </c>
      <c r="D27" s="43" t="n">
        <f aca="false">IF(A27&gt;$B$7,"",$B$8)</f>
        <v>469.999993730597</v>
      </c>
      <c r="E27" s="19" t="n">
        <f aca="false">IF(A27&gt;$B$7,0,IF(ABS(B27+C27-D27)&lt;0.005,0,B27+C27-D27))</f>
        <v>13271.4497009008</v>
      </c>
      <c r="F27" s="43" t="n">
        <f aca="false">IF(A27&gt;$B$12,"",IF(A27=1,$B$9,H26))</f>
        <v>13941.2568702144</v>
      </c>
      <c r="G27" s="43" t="n">
        <f aca="false">IF(A27&gt;$B$12,"",$B$13*(1+$B$11)^(A27-1))</f>
        <v>444.607968819199</v>
      </c>
      <c r="H27" s="19" t="n">
        <f aca="false">IF(A27&gt;$B$12,0,IF(ABS(F27*(1+$B$10)-G27)&lt;0.005,0,F27*(1+$B$10)-G27))</f>
        <v>13705.7677544484</v>
      </c>
      <c r="I27" s="43" t="n">
        <f aca="false">IF(A27&gt;$B$7,I26,I26*(1+$B$6)+$B$8)</f>
        <v>5575.73329750762</v>
      </c>
    </row>
    <row r="28" customFormat="false" ht="15" hidden="false" customHeight="false" outlineLevel="0" collapsed="false">
      <c r="A28" s="13" t="n">
        <v>12</v>
      </c>
      <c r="B28" s="43" t="n">
        <f aca="false">IF(A28&gt;$B$7,"",IF(A28=1,$B$5,E27))</f>
        <v>13271.4497009008</v>
      </c>
      <c r="C28" s="43" t="n">
        <f aca="false">IF(A28&gt;$B$7,"",B28*$B$6)</f>
        <v>199.071745513512</v>
      </c>
      <c r="D28" s="43" t="n">
        <f aca="false">IF(A28&gt;$B$7,"",$B$8)</f>
        <v>469.999993730597</v>
      </c>
      <c r="E28" s="19" t="n">
        <f aca="false">IF(A28&gt;$B$7,0,IF(ABS(B28+C28-D28)&lt;0.005,0,B28+C28-D28))</f>
        <v>13000.5214526837</v>
      </c>
      <c r="F28" s="43" t="n">
        <f aca="false">IF(A28&gt;$B$12,"",IF(A28=1,$B$9,H27))</f>
        <v>13705.7677544484</v>
      </c>
      <c r="G28" s="43" t="n">
        <f aca="false">IF(A28&gt;$B$12,"",$B$13*(1+$B$11)^(A28-1))</f>
        <v>446.831008663295</v>
      </c>
      <c r="H28" s="19" t="n">
        <f aca="false">IF(A28&gt;$B$12,0,IF(ABS(F28*(1+$B$10)-G28)&lt;0.005,0,F28*(1+$B$10)-G28))</f>
        <v>13464.5232621018</v>
      </c>
      <c r="I28" s="43" t="n">
        <f aca="false">IF(A28&gt;$B$7,I27,I27*(1+$B$6)+$B$8)</f>
        <v>6129.36929070083</v>
      </c>
    </row>
    <row r="29" customFormat="false" ht="15" hidden="false" customHeight="false" outlineLevel="0" collapsed="false">
      <c r="A29" s="13" t="n">
        <v>13</v>
      </c>
      <c r="B29" s="43" t="n">
        <f aca="false">IF(A29&gt;$B$7,"",IF(A29=1,$B$5,E28))</f>
        <v>13000.5214526837</v>
      </c>
      <c r="C29" s="43" t="n">
        <f aca="false">IF(A29&gt;$B$7,"",B29*$B$6)</f>
        <v>195.007821790256</v>
      </c>
      <c r="D29" s="43" t="n">
        <f aca="false">IF(A29&gt;$B$7,"",$B$8)</f>
        <v>469.999993730597</v>
      </c>
      <c r="E29" s="19" t="n">
        <f aca="false">IF(A29&gt;$B$7,0,IF(ABS(B29+C29-D29)&lt;0.005,0,B29+C29-D29))</f>
        <v>12725.5292807434</v>
      </c>
      <c r="F29" s="43" t="n">
        <f aca="false">IF(A29&gt;$B$12,"",IF(A29=1,$B$9,H28))</f>
        <v>13464.5232621018</v>
      </c>
      <c r="G29" s="43" t="n">
        <f aca="false">IF(A29&gt;$B$12,"",$B$13*(1+$B$11)^(A29-1))</f>
        <v>449.065163706612</v>
      </c>
      <c r="H29" s="19" t="n">
        <f aca="false">IF(A29&gt;$B$12,0,IF(ABS(F29*(1+$B$10)-G29)&lt;0.005,0,F29*(1+$B$10)-G29))</f>
        <v>13217.4259473267</v>
      </c>
      <c r="I29" s="43" t="n">
        <f aca="false">IF(A29&gt;$B$7,I28,I28*(1+$B$6)+$B$8)</f>
        <v>6691.30982379194</v>
      </c>
    </row>
    <row r="30" customFormat="false" ht="15" hidden="false" customHeight="false" outlineLevel="0" collapsed="false">
      <c r="A30" s="13" t="n">
        <v>14</v>
      </c>
      <c r="B30" s="43" t="n">
        <f aca="false">IF(A30&gt;$B$7,"",IF(A30=1,$B$5,E29))</f>
        <v>12725.5292807434</v>
      </c>
      <c r="C30" s="43" t="n">
        <f aca="false">IF(A30&gt;$B$7,"",B30*$B$6)</f>
        <v>190.882939211151</v>
      </c>
      <c r="D30" s="43" t="n">
        <f aca="false">IF(A30&gt;$B$7,"",$B$8)</f>
        <v>469.999993730597</v>
      </c>
      <c r="E30" s="19" t="n">
        <f aca="false">IF(A30&gt;$B$7,0,IF(ABS(B30+C30-D30)&lt;0.005,0,B30+C30-D30))</f>
        <v>12446.412226224</v>
      </c>
      <c r="F30" s="43" t="n">
        <f aca="false">IF(A30&gt;$B$12,"",IF(A30=1,$B$9,H29))</f>
        <v>13217.4259473267</v>
      </c>
      <c r="G30" s="43" t="n">
        <f aca="false">IF(A30&gt;$B$12,"",$B$13*(1+$B$11)^(A30-1))</f>
        <v>451.310489525145</v>
      </c>
      <c r="H30" s="19" t="n">
        <f aca="false">IF(A30&gt;$B$12,0,IF(ABS(F30*(1+$B$10)-G30)&lt;0.005,0,F30*(1+$B$10)-G30))</f>
        <v>12964.3768470115</v>
      </c>
      <c r="I30" s="43" t="n">
        <f aca="false">IF(A30&gt;$B$7,I29,I29*(1+$B$6)+$B$8)</f>
        <v>7261.67946487942</v>
      </c>
    </row>
    <row r="31" customFormat="false" ht="15" hidden="false" customHeight="false" outlineLevel="0" collapsed="false">
      <c r="A31" s="13" t="n">
        <v>15</v>
      </c>
      <c r="B31" s="43" t="n">
        <f aca="false">IF(A31&gt;$B$7,"",IF(A31=1,$B$5,E30))</f>
        <v>12446.412226224</v>
      </c>
      <c r="C31" s="43" t="n">
        <f aca="false">IF(A31&gt;$B$7,"",B31*$B$6)</f>
        <v>186.696183393359</v>
      </c>
      <c r="D31" s="43" t="n">
        <f aca="false">IF(A31&gt;$B$7,"",$B$8)</f>
        <v>469.999993730597</v>
      </c>
      <c r="E31" s="19" t="n">
        <f aca="false">IF(A31&gt;$B$7,0,IF(ABS(B31+C31-D31)&lt;0.005,0,B31+C31-D31))</f>
        <v>12163.1084158867</v>
      </c>
      <c r="F31" s="43" t="n">
        <f aca="false">IF(A31&gt;$B$12,"",IF(A31=1,$B$9,H30))</f>
        <v>12964.3768470115</v>
      </c>
      <c r="G31" s="43" t="n">
        <f aca="false">IF(A31&gt;$B$12,"",$B$13*(1+$B$11)^(A31-1))</f>
        <v>453.56704197277</v>
      </c>
      <c r="H31" s="19" t="n">
        <f aca="false">IF(A31&gt;$B$12,0,IF(ABS(F31*(1+$B$10)-G31)&lt;0.005,0,F31*(1+$B$10)-G31))</f>
        <v>12705.2754577439</v>
      </c>
      <c r="I31" s="43" t="n">
        <f aca="false">IF(A31&gt;$B$7,I30,I30*(1+$B$6)+$B$8)</f>
        <v>7840.60465058321</v>
      </c>
    </row>
    <row r="32" customFormat="false" ht="15" hidden="false" customHeight="false" outlineLevel="0" collapsed="false">
      <c r="A32" s="13" t="n">
        <v>16</v>
      </c>
      <c r="B32" s="43" t="n">
        <f aca="false">IF(A32&gt;$B$7,"",IF(A32=1,$B$5,E31))</f>
        <v>12163.1084158867</v>
      </c>
      <c r="C32" s="43" t="n">
        <f aca="false">IF(A32&gt;$B$7,"",B32*$B$6)</f>
        <v>182.446626238301</v>
      </c>
      <c r="D32" s="43" t="n">
        <f aca="false">IF(A32&gt;$B$7,"",$B$8)</f>
        <v>469.999993730597</v>
      </c>
      <c r="E32" s="19" t="n">
        <f aca="false">IF(A32&gt;$B$7,0,IF(ABS(B32+C32-D32)&lt;0.005,0,B32+C32-D32))</f>
        <v>11875.5550483944</v>
      </c>
      <c r="F32" s="43" t="n">
        <f aca="false">IF(A32&gt;$B$12,"",IF(A32=1,$B$9,H31))</f>
        <v>12705.2754577439</v>
      </c>
      <c r="G32" s="43" t="n">
        <f aca="false">IF(A32&gt;$B$12,"",$B$13*(1+$B$11)^(A32-1))</f>
        <v>455.834877182634</v>
      </c>
      <c r="H32" s="19" t="n">
        <f aca="false">IF(A32&gt;$B$12,0,IF(ABS(F32*(1+$B$10)-G32)&lt;0.005,0,F32*(1+$B$10)-G32))</f>
        <v>12440.0197124274</v>
      </c>
      <c r="I32" s="43" t="n">
        <f aca="false">IF(A32&gt;$B$7,I31,I31*(1+$B$6)+$B$8)</f>
        <v>8428.21371407255</v>
      </c>
    </row>
    <row r="33" customFormat="false" ht="15" hidden="false" customHeight="false" outlineLevel="0" collapsed="false">
      <c r="A33" s="13" t="n">
        <v>17</v>
      </c>
      <c r="B33" s="43" t="n">
        <f aca="false">IF(A33&gt;$B$7,"",IF(A33=1,$B$5,E32))</f>
        <v>11875.5550483944</v>
      </c>
      <c r="C33" s="43" t="n">
        <f aca="false">IF(A33&gt;$B$7,"",B33*$B$6)</f>
        <v>178.133325725916</v>
      </c>
      <c r="D33" s="43" t="n">
        <f aca="false">IF(A33&gt;$B$7,"",$B$8)</f>
        <v>469.999993730597</v>
      </c>
      <c r="E33" s="19" t="n">
        <f aca="false">IF(A33&gt;$B$7,0,IF(ABS(B33+C33-D33)&lt;0.005,0,B33+C33-D33))</f>
        <v>11583.6883803897</v>
      </c>
      <c r="F33" s="43" t="n">
        <f aca="false">IF(A33&gt;$B$12,"",IF(A33=1,$B$9,H32))</f>
        <v>12440.0197124274</v>
      </c>
      <c r="G33" s="43" t="n">
        <f aca="false">IF(A33&gt;$B$12,"",$B$13*(1+$B$11)^(A33-1))</f>
        <v>458.114051568547</v>
      </c>
      <c r="H33" s="19" t="n">
        <f aca="false">IF(A33&gt;$B$12,0,IF(ABS(F33*(1+$B$10)-G33)&lt;0.005,0,F33*(1+$B$10)-G33))</f>
        <v>12168.5059565453</v>
      </c>
      <c r="I33" s="43" t="n">
        <f aca="false">IF(A33&gt;$B$7,I32,I32*(1+$B$6)+$B$8)</f>
        <v>9024.63691351423</v>
      </c>
    </row>
    <row r="34" customFormat="false" ht="15" hidden="false" customHeight="false" outlineLevel="0" collapsed="false">
      <c r="A34" s="13" t="n">
        <v>18</v>
      </c>
      <c r="B34" s="43" t="n">
        <f aca="false">IF(A34&gt;$B$7,"",IF(A34=1,$B$5,E33))</f>
        <v>11583.6883803897</v>
      </c>
      <c r="C34" s="43" t="n">
        <f aca="false">IF(A34&gt;$B$7,"",B34*$B$6)</f>
        <v>173.755325705846</v>
      </c>
      <c r="D34" s="43" t="n">
        <f aca="false">IF(A34&gt;$B$7,"",$B$8)</f>
        <v>469.999993730597</v>
      </c>
      <c r="E34" s="19" t="n">
        <f aca="false">IF(A34&gt;$B$7,0,IF(ABS(B34+C34-D34)&lt;0.005,0,B34+C34-D34))</f>
        <v>11287.443712365</v>
      </c>
      <c r="F34" s="43" t="n">
        <f aca="false">IF(A34&gt;$B$12,"",IF(A34=1,$B$9,H33))</f>
        <v>12168.5059565453</v>
      </c>
      <c r="G34" s="43" t="n">
        <f aca="false">IF(A34&gt;$B$12,"",$B$13*(1+$B$11)^(A34-1))</f>
        <v>460.40462182639</v>
      </c>
      <c r="H34" s="19" t="n">
        <f aca="false">IF(A34&gt;$B$12,0,IF(ABS(F34*(1+$B$10)-G34)&lt;0.005,0,F34*(1+$B$10)-G34))</f>
        <v>11890.6289240671</v>
      </c>
      <c r="I34" s="43" t="n">
        <f aca="false">IF(A34&gt;$B$7,I33,I33*(1+$B$6)+$B$8)</f>
        <v>9630.00646094754</v>
      </c>
    </row>
    <row r="35" customFormat="false" ht="15" hidden="false" customHeight="false" outlineLevel="0" collapsed="false">
      <c r="A35" s="13" t="n">
        <v>19</v>
      </c>
      <c r="B35" s="43" t="n">
        <f aca="false">IF(A35&gt;$B$7,"",IF(A35=1,$B$5,E34))</f>
        <v>11287.443712365</v>
      </c>
      <c r="C35" s="43" t="n">
        <f aca="false">IF(A35&gt;$B$7,"",B35*$B$6)</f>
        <v>169.311655685475</v>
      </c>
      <c r="D35" s="43" t="n">
        <f aca="false">IF(A35&gt;$B$7,"",$B$8)</f>
        <v>469.999993730597</v>
      </c>
      <c r="E35" s="19" t="n">
        <f aca="false">IF(A35&gt;$B$7,0,IF(ABS(B35+C35-D35)&lt;0.005,0,B35+C35-D35))</f>
        <v>10986.7553743199</v>
      </c>
      <c r="F35" s="43" t="n">
        <f aca="false">IF(A35&gt;$B$12,"",IF(A35=1,$B$9,H34))</f>
        <v>11890.6289240671</v>
      </c>
      <c r="G35" s="43" t="n">
        <f aca="false">IF(A35&gt;$B$12,"",$B$13*(1+$B$11)^(A35-1))</f>
        <v>462.706644935522</v>
      </c>
      <c r="H35" s="19" t="n">
        <f aca="false">IF(A35&gt;$B$12,0,IF(ABS(F35*(1+$B$10)-G35)&lt;0.005,0,F35*(1+$B$10)-G35))</f>
        <v>11606.2817129926</v>
      </c>
      <c r="I35" s="43" t="n">
        <f aca="false">IF(A35&gt;$B$7,I34,I34*(1+$B$6)+$B$8)</f>
        <v>10244.4565515924</v>
      </c>
    </row>
    <row r="36" customFormat="false" ht="15" hidden="false" customHeight="false" outlineLevel="0" collapsed="false">
      <c r="A36" s="13" t="n">
        <v>20</v>
      </c>
      <c r="B36" s="43" t="n">
        <f aca="false">IF(A36&gt;$B$7,"",IF(A36=1,$B$5,E35))</f>
        <v>10986.7553743199</v>
      </c>
      <c r="C36" s="43" t="n">
        <f aca="false">IF(A36&gt;$B$7,"",B36*$B$6)</f>
        <v>164.801330614798</v>
      </c>
      <c r="D36" s="43" t="n">
        <f aca="false">IF(A36&gt;$B$7,"",$B$8)</f>
        <v>469.999993730597</v>
      </c>
      <c r="E36" s="19" t="n">
        <f aca="false">IF(A36&gt;$B$7,0,IF(ABS(B36+C36-D36)&lt;0.005,0,B36+C36-D36))</f>
        <v>10681.5567112041</v>
      </c>
      <c r="F36" s="43" t="n">
        <f aca="false">IF(A36&gt;$B$12,"",IF(A36=1,$B$9,H35))</f>
        <v>11606.2817129926</v>
      </c>
      <c r="G36" s="43" t="n">
        <f aca="false">IF(A36&gt;$B$12,"",$B$13*(1+$B$11)^(A36-1))</f>
        <v>465.020178160199</v>
      </c>
      <c r="H36" s="19" t="n">
        <f aca="false">IF(A36&gt;$B$12,0,IF(ABS(F36*(1+$B$10)-G36)&lt;0.005,0,F36*(1+$B$10)-G36))</f>
        <v>11315.3557605272</v>
      </c>
      <c r="I36" s="43" t="n">
        <f aca="false">IF(A36&gt;$B$7,I35,I35*(1+$B$6)+$B$8)</f>
        <v>10868.1233935968</v>
      </c>
    </row>
    <row r="37" customFormat="false" ht="15" hidden="false" customHeight="false" outlineLevel="0" collapsed="false">
      <c r="A37" s="13" t="n">
        <v>21</v>
      </c>
      <c r="B37" s="43" t="n">
        <f aca="false">IF(A37&gt;$B$7,"",IF(A37=1,$B$5,E36))</f>
        <v>10681.5567112041</v>
      </c>
      <c r="C37" s="43" t="n">
        <f aca="false">IF(A37&gt;$B$7,"",B37*$B$6)</f>
        <v>160.223350668061</v>
      </c>
      <c r="D37" s="43" t="n">
        <f aca="false">IF(A37&gt;$B$7,"",$B$8)</f>
        <v>469.999993730597</v>
      </c>
      <c r="E37" s="19" t="n">
        <f aca="false">IF(A37&gt;$B$7,0,IF(ABS(B37+C37-D37)&lt;0.005,0,B37+C37-D37))</f>
        <v>10371.7800681415</v>
      </c>
      <c r="F37" s="43" t="n">
        <f aca="false">IF(A37&gt;$B$12,"",IF(A37=1,$B$9,H36))</f>
        <v>11315.3557605272</v>
      </c>
      <c r="G37" s="43" t="n">
        <f aca="false">IF(A37&gt;$B$12,"",$B$13*(1+$B$11)^(A37-1))</f>
        <v>467.345279051</v>
      </c>
      <c r="H37" s="19" t="n">
        <f aca="false">IF(A37&gt;$B$12,0,IF(ABS(F37*(1+$B$10)-G37)&lt;0.005,0,F37*(1+$B$10)-G37))</f>
        <v>11017.7408178842</v>
      </c>
      <c r="I37" s="43" t="n">
        <f aca="false">IF(A37&gt;$B$7,I36,I36*(1+$B$6)+$B$8)</f>
        <v>11501.1452382314</v>
      </c>
    </row>
    <row r="38" customFormat="false" ht="15" hidden="false" customHeight="false" outlineLevel="0" collapsed="false">
      <c r="A38" s="13" t="n">
        <v>22</v>
      </c>
      <c r="B38" s="43" t="n">
        <f aca="false">IF(A38&gt;$B$7,"",IF(A38=1,$B$5,E37))</f>
        <v>10371.7800681415</v>
      </c>
      <c r="C38" s="43" t="n">
        <f aca="false">IF(A38&gt;$B$7,"",B38*$B$6)</f>
        <v>155.576701022123</v>
      </c>
      <c r="D38" s="43" t="n">
        <f aca="false">IF(A38&gt;$B$7,"",$B$8)</f>
        <v>469.999993730597</v>
      </c>
      <c r="E38" s="19" t="n">
        <f aca="false">IF(A38&gt;$B$7,0,IF(ABS(B38+C38-D38)&lt;0.005,0,B38+C38-D38))</f>
        <v>10057.3567754331</v>
      </c>
      <c r="F38" s="43" t="n">
        <f aca="false">IF(A38&gt;$B$12,"",IF(A38=1,$B$9,H37))</f>
        <v>11017.7408178842</v>
      </c>
      <c r="G38" s="43" t="n">
        <f aca="false">IF(A38&gt;$B$12,"",$B$13*(1+$B$11)^(A38-1))</f>
        <v>469.682005446255</v>
      </c>
      <c r="H38" s="19" t="n">
        <f aca="false">IF(A38&gt;$B$12,0,IF(ABS(F38*(1+$B$10)-G38)&lt;0.005,0,F38*(1+$B$10)-G38))</f>
        <v>10713.3249247062</v>
      </c>
      <c r="I38" s="43" t="n">
        <f aca="false">IF(A38&gt;$B$7,I37,I37*(1+$B$6)+$B$8)</f>
        <v>12143.6624105354</v>
      </c>
    </row>
    <row r="39" customFormat="false" ht="15" hidden="false" customHeight="false" outlineLevel="0" collapsed="false">
      <c r="A39" s="13" t="n">
        <v>23</v>
      </c>
      <c r="B39" s="43" t="n">
        <f aca="false">IF(A39&gt;$B$7,"",IF(A39=1,$B$5,E38))</f>
        <v>10057.3567754331</v>
      </c>
      <c r="C39" s="43" t="n">
        <f aca="false">IF(A39&gt;$B$7,"",B39*$B$6)</f>
        <v>150.860351631496</v>
      </c>
      <c r="D39" s="43" t="n">
        <f aca="false">IF(A39&gt;$B$7,"",$B$8)</f>
        <v>469.999993730597</v>
      </c>
      <c r="E39" s="19" t="n">
        <f aca="false">IF(A39&gt;$B$7,0,IF(ABS(B39+C39-D39)&lt;0.005,0,B39+C39-D39))</f>
        <v>9738.21713333397</v>
      </c>
      <c r="F39" s="43" t="n">
        <f aca="false">IF(A39&gt;$B$12,"",IF(A39=1,$B$9,H38))</f>
        <v>10713.3249247062</v>
      </c>
      <c r="G39" s="43" t="n">
        <f aca="false">IF(A39&gt;$B$12,"",$B$13*(1+$B$11)^(A39-1))</f>
        <v>472.030415473486</v>
      </c>
      <c r="H39" s="19" t="n">
        <f aca="false">IF(A39&gt;$B$12,0,IF(ABS(F39*(1+$B$10)-G39)&lt;0.005,0,F39*(1+$B$10)-G39))</f>
        <v>10401.9943831033</v>
      </c>
      <c r="I39" s="43" t="n">
        <f aca="false">IF(A39&gt;$B$7,I38,I38*(1+$B$6)+$B$8)</f>
        <v>12795.8173404241</v>
      </c>
    </row>
    <row r="40" customFormat="false" ht="15" hidden="false" customHeight="false" outlineLevel="0" collapsed="false">
      <c r="A40" s="13" t="n">
        <v>24</v>
      </c>
      <c r="B40" s="43" t="n">
        <f aca="false">IF(A40&gt;$B$7,"",IF(A40=1,$B$5,E39))</f>
        <v>9738.21713333397</v>
      </c>
      <c r="C40" s="43" t="n">
        <f aca="false">IF(A40&gt;$B$7,"",B40*$B$6)</f>
        <v>146.073257000009</v>
      </c>
      <c r="D40" s="43" t="n">
        <f aca="false">IF(A40&gt;$B$7,"",$B$8)</f>
        <v>469.999993730597</v>
      </c>
      <c r="E40" s="19" t="n">
        <f aca="false">IF(A40&gt;$B$7,0,IF(ABS(B40+C40-D40)&lt;0.005,0,B40+C40-D40))</f>
        <v>9414.29039660338</v>
      </c>
      <c r="F40" s="43" t="n">
        <f aca="false">IF(A40&gt;$B$12,"",IF(A40=1,$B$9,H39))</f>
        <v>10401.9943831033</v>
      </c>
      <c r="G40" s="43" t="n">
        <f aca="false">IF(A40&gt;$B$12,"",$B$13*(1+$B$11)^(A40-1))</f>
        <v>474.390567550854</v>
      </c>
      <c r="H40" s="19" t="n">
        <f aca="false">IF(A40&gt;$B$12,0,IF(ABS(F40*(1+$B$10)-G40)&lt;0.005,0,F40*(1+$B$10)-G40))</f>
        <v>10083.633731299</v>
      </c>
      <c r="I40" s="43" t="n">
        <f aca="false">IF(A40&gt;$B$7,I39,I39*(1+$B$6)+$B$8)</f>
        <v>13457.754594261</v>
      </c>
    </row>
    <row r="41" customFormat="false" ht="15" hidden="false" customHeight="false" outlineLevel="0" collapsed="false">
      <c r="A41" s="13" t="n">
        <v>25</v>
      </c>
      <c r="B41" s="43" t="n">
        <f aca="false">IF(A41&gt;$B$7,"",IF(A41=1,$B$5,E40))</f>
        <v>9414.29039660338</v>
      </c>
      <c r="C41" s="43" t="n">
        <f aca="false">IF(A41&gt;$B$7,"",B41*$B$6)</f>
        <v>141.214355949051</v>
      </c>
      <c r="D41" s="43" t="n">
        <f aca="false">IF(A41&gt;$B$7,"",$B$8)</f>
        <v>469.999993730597</v>
      </c>
      <c r="E41" s="19" t="n">
        <f aca="false">IF(A41&gt;$B$7,0,IF(ABS(B41+C41-D41)&lt;0.005,0,B41+C41-D41))</f>
        <v>9085.50475882183</v>
      </c>
      <c r="F41" s="43" t="n">
        <f aca="false">IF(A41&gt;$B$12,"",IF(A41=1,$B$9,H40))</f>
        <v>10083.633731299</v>
      </c>
      <c r="G41" s="43" t="n">
        <f aca="false">IF(A41&gt;$B$12,"",$B$13*(1+$B$11)^(A41-1))</f>
        <v>476.762520388608</v>
      </c>
      <c r="H41" s="19" t="n">
        <f aca="false">IF(A41&gt;$B$12,0,IF(ABS(F41*(1+$B$10)-G41)&lt;0.005,0,F41*(1+$B$10)-G41))</f>
        <v>9758.12571687984</v>
      </c>
      <c r="I41" s="43" t="n">
        <f aca="false">IF(A41&gt;$B$7,I40,I40*(1+$B$6)+$B$8)</f>
        <v>14129.6209069055</v>
      </c>
    </row>
    <row r="42" customFormat="false" ht="15" hidden="false" customHeight="false" outlineLevel="0" collapsed="false">
      <c r="A42" s="13" t="n">
        <v>26</v>
      </c>
      <c r="B42" s="43" t="n">
        <f aca="false">IF(A42&gt;$B$7,"",IF(A42=1,$B$5,E41))</f>
        <v>9085.50475882183</v>
      </c>
      <c r="C42" s="43" t="n">
        <f aca="false">IF(A42&gt;$B$7,"",B42*$B$6)</f>
        <v>136.282571382327</v>
      </c>
      <c r="D42" s="43" t="n">
        <f aca="false">IF(A42&gt;$B$7,"",$B$8)</f>
        <v>469.999993730597</v>
      </c>
      <c r="E42" s="19" t="n">
        <f aca="false">IF(A42&gt;$B$7,0,IF(ABS(B42+C42-D42)&lt;0.005,0,B42+C42-D42))</f>
        <v>8751.78733647356</v>
      </c>
      <c r="F42" s="43" t="n">
        <f aca="false">IF(A42&gt;$B$12,"",IF(A42=1,$B$9,H41))</f>
        <v>9758.12571687984</v>
      </c>
      <c r="G42" s="43" t="n">
        <f aca="false">IF(A42&gt;$B$12,"",$B$13*(1+$B$11)^(A42-1))</f>
        <v>479.146332990551</v>
      </c>
      <c r="H42" s="19" t="n">
        <f aca="false">IF(A42&gt;$B$12,0,IF(ABS(F42*(1+$B$10)-G42)&lt;0.005,0,F42*(1+$B$10)-G42))</f>
        <v>9425.35126964248</v>
      </c>
      <c r="I42" s="43" t="n">
        <f aca="false">IF(A42&gt;$B$7,I41,I41*(1+$B$6)+$B$8)</f>
        <v>14811.5652142397</v>
      </c>
    </row>
    <row r="43" customFormat="false" ht="15" hidden="false" customHeight="false" outlineLevel="0" collapsed="false">
      <c r="A43" s="13" t="n">
        <v>27</v>
      </c>
      <c r="B43" s="43" t="n">
        <f aca="false">IF(A43&gt;$B$7,"",IF(A43=1,$B$5,E42))</f>
        <v>8751.78733647356</v>
      </c>
      <c r="C43" s="43" t="n">
        <f aca="false">IF(A43&gt;$B$7,"",B43*$B$6)</f>
        <v>131.276810047103</v>
      </c>
      <c r="D43" s="43" t="n">
        <f aca="false">IF(A43&gt;$B$7,"",$B$8)</f>
        <v>469.999993730597</v>
      </c>
      <c r="E43" s="19" t="n">
        <f aca="false">IF(A43&gt;$B$7,0,IF(ABS(B43+C43-D43)&lt;0.005,0,B43+C43-D43))</f>
        <v>8413.06415279007</v>
      </c>
      <c r="F43" s="43" t="n">
        <f aca="false">IF(A43&gt;$B$12,"",IF(A43=1,$B$9,H42))</f>
        <v>9425.35126964248</v>
      </c>
      <c r="G43" s="43" t="n">
        <f aca="false">IF(A43&gt;$B$12,"",$B$13*(1+$B$11)^(A43-1))</f>
        <v>481.542064655504</v>
      </c>
      <c r="H43" s="19" t="n">
        <f aca="false">IF(A43&gt;$B$12,0,IF(ABS(F43*(1+$B$10)-G43)&lt;0.005,0,F43*(1+$B$10)-G43))</f>
        <v>9085.18947403162</v>
      </c>
      <c r="I43" s="43" t="n">
        <f aca="false">IF(A43&gt;$B$7,I42,I42*(1+$B$6)+$B$8)</f>
        <v>15503.7386861839</v>
      </c>
    </row>
    <row r="44" customFormat="false" ht="15" hidden="false" customHeight="false" outlineLevel="0" collapsed="false">
      <c r="A44" s="13" t="n">
        <v>28</v>
      </c>
      <c r="B44" s="43" t="n">
        <f aca="false">IF(A44&gt;$B$7,"",IF(A44=1,$B$5,E43))</f>
        <v>8413.06415279007</v>
      </c>
      <c r="C44" s="43" t="n">
        <f aca="false">IF(A44&gt;$B$7,"",B44*$B$6)</f>
        <v>126.195962291851</v>
      </c>
      <c r="D44" s="43" t="n">
        <f aca="false">IF(A44&gt;$B$7,"",$B$8)</f>
        <v>469.999993730597</v>
      </c>
      <c r="E44" s="19" t="n">
        <f aca="false">IF(A44&gt;$B$7,0,IF(ABS(B44+C44-D44)&lt;0.005,0,B44+C44-D44))</f>
        <v>8069.26012135132</v>
      </c>
      <c r="F44" s="43" t="n">
        <f aca="false">IF(A44&gt;$B$12,"",IF(A44=1,$B$9,H43))</f>
        <v>9085.18947403162</v>
      </c>
      <c r="G44" s="43" t="n">
        <f aca="false">IF(A44&gt;$B$12,"",$B$13*(1+$B$11)^(A44-1))</f>
        <v>483.949774978781</v>
      </c>
      <c r="H44" s="19" t="n">
        <f aca="false">IF(A44&gt;$B$12,0,IF(ABS(F44*(1+$B$10)-G44)&lt;0.005,0,F44*(1+$B$10)-G44))</f>
        <v>8737.51754116331</v>
      </c>
      <c r="I44" s="43" t="n">
        <f aca="false">IF(A44&gt;$B$7,I43,I43*(1+$B$6)+$B$8)</f>
        <v>16206.2947602073</v>
      </c>
    </row>
    <row r="45" customFormat="false" ht="15" hidden="false" customHeight="false" outlineLevel="0" collapsed="false">
      <c r="A45" s="13" t="n">
        <v>29</v>
      </c>
      <c r="B45" s="43" t="n">
        <f aca="false">IF(A45&gt;$B$7,"",IF(A45=1,$B$5,E44))</f>
        <v>8069.26012135132</v>
      </c>
      <c r="C45" s="43" t="n">
        <f aca="false">IF(A45&gt;$B$7,"",B45*$B$6)</f>
        <v>121.03890182027</v>
      </c>
      <c r="D45" s="43" t="n">
        <f aca="false">IF(A45&gt;$B$7,"",$B$8)</f>
        <v>469.999993730597</v>
      </c>
      <c r="E45" s="19" t="n">
        <f aca="false">IF(A45&gt;$B$7,0,IF(ABS(B45+C45-D45)&lt;0.005,0,B45+C45-D45))</f>
        <v>7720.299029441</v>
      </c>
      <c r="F45" s="43" t="n">
        <f aca="false">IF(A45&gt;$B$12,"",IF(A45=1,$B$9,H44))</f>
        <v>8737.51754116331</v>
      </c>
      <c r="G45" s="43" t="n">
        <f aca="false">IF(A45&gt;$B$12,"",$B$13*(1+$B$11)^(A45-1))</f>
        <v>486.369523853675</v>
      </c>
      <c r="H45" s="19" t="n">
        <f aca="false">IF(A45&gt;$B$12,0,IF(ABS(F45*(1+$B$10)-G45)&lt;0.005,0,F45*(1+$B$10)-G45))</f>
        <v>8382.21078042708</v>
      </c>
      <c r="I45" s="43" t="n">
        <f aca="false">IF(A45&gt;$B$7,I44,I44*(1+$B$6)+$B$8)</f>
        <v>16919.389175341</v>
      </c>
    </row>
    <row r="46" customFormat="false" ht="15" hidden="false" customHeight="false" outlineLevel="0" collapsed="false">
      <c r="A46" s="13" t="n">
        <v>30</v>
      </c>
      <c r="B46" s="43" t="n">
        <f aca="false">IF(A46&gt;$B$7,"",IF(A46=1,$B$5,E45))</f>
        <v>7720.299029441</v>
      </c>
      <c r="C46" s="43" t="n">
        <f aca="false">IF(A46&gt;$B$7,"",B46*$B$6)</f>
        <v>115.804485441615</v>
      </c>
      <c r="D46" s="43" t="n">
        <f aca="false">IF(A46&gt;$B$7,"",$B$8)</f>
        <v>469.999993730597</v>
      </c>
      <c r="E46" s="19" t="n">
        <f aca="false">IF(A46&gt;$B$7,0,IF(ABS(B46+C46-D46)&lt;0.005,0,B46+C46-D46))</f>
        <v>7366.10352115201</v>
      </c>
      <c r="F46" s="43" t="n">
        <f aca="false">IF(A46&gt;$B$12,"",IF(A46=1,$B$9,H45))</f>
        <v>8382.21078042708</v>
      </c>
      <c r="G46" s="43" t="n">
        <f aca="false">IF(A46&gt;$B$12,"",$B$13*(1+$B$11)^(A46-1))</f>
        <v>488.801371472943</v>
      </c>
      <c r="H46" s="19" t="n">
        <f aca="false">IF(A46&gt;$B$12,0,IF(ABS(F46*(1+$B$10)-G46)&lt;0.005,0,F46*(1+$B$10)-G46))</f>
        <v>8019.14257066054</v>
      </c>
      <c r="I46" s="43" t="n">
        <f aca="false">IF(A46&gt;$B$7,I45,I45*(1+$B$6)+$B$8)</f>
        <v>17643.1800067017</v>
      </c>
    </row>
    <row r="47" customFormat="false" ht="15" hidden="false" customHeight="false" outlineLevel="0" collapsed="false">
      <c r="A47" s="13" t="n">
        <v>31</v>
      </c>
      <c r="B47" s="43" t="n">
        <f aca="false">IF(A47&gt;$B$7,"",IF(A47=1,$B$5,E46))</f>
        <v>7366.10352115201</v>
      </c>
      <c r="C47" s="43" t="n">
        <f aca="false">IF(A47&gt;$B$7,"",B47*$B$6)</f>
        <v>110.49155281728</v>
      </c>
      <c r="D47" s="43" t="n">
        <f aca="false">IF(A47&gt;$B$7,"",$B$8)</f>
        <v>469.999993730597</v>
      </c>
      <c r="E47" s="19" t="n">
        <f aca="false">IF(A47&gt;$B$7,0,IF(ABS(B47+C47-D47)&lt;0.005,0,B47+C47-D47))</f>
        <v>7006.5950802387</v>
      </c>
      <c r="F47" s="43" t="n">
        <f aca="false">IF(A47&gt;$B$12,"",IF(A47=1,$B$9,H46))</f>
        <v>8019.14257066054</v>
      </c>
      <c r="G47" s="43" t="n">
        <f aca="false">IF(A47&gt;$B$12,"",$B$13*(1+$B$11)^(A47-1))</f>
        <v>491.245378330308</v>
      </c>
      <c r="H47" s="19" t="n">
        <f aca="false">IF(A47&gt;$B$12,0,IF(ABS(F47*(1+$B$10)-G47)&lt;0.005,0,F47*(1+$B$10)-G47))</f>
        <v>7648.18433089014</v>
      </c>
      <c r="I47" s="43" t="n">
        <f aca="false">IF(A47&gt;$B$7,I46,I46*(1+$B$6)+$B$8)</f>
        <v>18377.8277005328</v>
      </c>
    </row>
    <row r="48" customFormat="false" ht="15" hidden="false" customHeight="false" outlineLevel="0" collapsed="false">
      <c r="A48" s="13" t="n">
        <v>32</v>
      </c>
      <c r="B48" s="43" t="n">
        <f aca="false">IF(A48&gt;$B$7,"",IF(A48=1,$B$5,E47))</f>
        <v>7006.5950802387</v>
      </c>
      <c r="C48" s="43" t="n">
        <f aca="false">IF(A48&gt;$B$7,"",B48*$B$6)</f>
        <v>105.09892620358</v>
      </c>
      <c r="D48" s="43" t="n">
        <f aca="false">IF(A48&gt;$B$7,"",$B$8)</f>
        <v>469.999993730597</v>
      </c>
      <c r="E48" s="19" t="n">
        <f aca="false">IF(A48&gt;$B$7,0,IF(ABS(B48+C48-D48)&lt;0.005,0,B48+C48-D48))</f>
        <v>6641.69401271168</v>
      </c>
      <c r="F48" s="43" t="n">
        <f aca="false">IF(A48&gt;$B$12,"",IF(A48=1,$B$9,H47))</f>
        <v>7648.18433089014</v>
      </c>
      <c r="G48" s="43" t="n">
        <f aca="false">IF(A48&gt;$B$12,"",$B$13*(1+$B$11)^(A48-1))</f>
        <v>493.70160522196</v>
      </c>
      <c r="H48" s="19" t="n">
        <f aca="false">IF(A48&gt;$B$12,0,IF(ABS(F48*(1+$B$10)-G48)&lt;0.005,0,F48*(1+$B$10)-G48))</f>
        <v>7269.20549063153</v>
      </c>
      <c r="I48" s="43" t="n">
        <f aca="false">IF(A48&gt;$B$7,I47,I47*(1+$B$6)+$B$8)</f>
        <v>19123.4951097714</v>
      </c>
    </row>
    <row r="49" customFormat="false" ht="15" hidden="false" customHeight="false" outlineLevel="0" collapsed="false">
      <c r="A49" s="13" t="n">
        <v>33</v>
      </c>
      <c r="B49" s="43" t="n">
        <f aca="false">IF(A49&gt;$B$7,"",IF(A49=1,$B$5,E48))</f>
        <v>6641.69401271168</v>
      </c>
      <c r="C49" s="43" t="n">
        <f aca="false">IF(A49&gt;$B$7,"",B49*$B$6)</f>
        <v>99.6254101906752</v>
      </c>
      <c r="D49" s="43" t="n">
        <f aca="false">IF(A49&gt;$B$7,"",$B$8)</f>
        <v>469.999993730597</v>
      </c>
      <c r="E49" s="19" t="n">
        <f aca="false">IF(A49&gt;$B$7,0,IF(ABS(B49+C49-D49)&lt;0.005,0,B49+C49-D49))</f>
        <v>6271.31942917176</v>
      </c>
      <c r="F49" s="43" t="n">
        <f aca="false">IF(A49&gt;$B$12,"",IF(A49=1,$B$9,H48))</f>
        <v>7269.20549063153</v>
      </c>
      <c r="G49" s="43" t="n">
        <f aca="false">IF(A49&gt;$B$12,"",$B$13*(1+$B$11)^(A49-1))</f>
        <v>496.170113248069</v>
      </c>
      <c r="H49" s="19" t="n">
        <f aca="false">IF(A49&gt;$B$12,0,IF(ABS(F49*(1+$B$10)-G49)&lt;0.005,0,F49*(1+$B$10)-G49))</f>
        <v>6882.07345974294</v>
      </c>
      <c r="I49" s="43" t="n">
        <f aca="false">IF(A49&gt;$B$7,I48,I48*(1+$B$6)+$B$8)</f>
        <v>19880.3475301486</v>
      </c>
    </row>
    <row r="50" customFormat="false" ht="15" hidden="false" customHeight="false" outlineLevel="0" collapsed="false">
      <c r="A50" s="13" t="n">
        <v>34</v>
      </c>
      <c r="B50" s="43" t="n">
        <f aca="false">IF(A50&gt;$B$7,"",IF(A50=1,$B$5,E49))</f>
        <v>6271.31942917176</v>
      </c>
      <c r="C50" s="43" t="n">
        <f aca="false">IF(A50&gt;$B$7,"",B50*$B$6)</f>
        <v>94.0697914375763</v>
      </c>
      <c r="D50" s="43" t="n">
        <f aca="false">IF(A50&gt;$B$7,"",$B$8)</f>
        <v>469.999993730597</v>
      </c>
      <c r="E50" s="19" t="n">
        <f aca="false">IF(A50&gt;$B$7,0,IF(ABS(B50+C50-D50)&lt;0.005,0,B50+C50-D50))</f>
        <v>5895.38922687874</v>
      </c>
      <c r="F50" s="43" t="n">
        <f aca="false">IF(A50&gt;$B$12,"",IF(A50=1,$B$9,H49))</f>
        <v>6882.07345974294</v>
      </c>
      <c r="G50" s="43" t="n">
        <f aca="false">IF(A50&gt;$B$12,"",$B$13*(1+$B$11)^(A50-1))</f>
        <v>498.65096381431</v>
      </c>
      <c r="H50" s="19" t="n">
        <f aca="false">IF(A50&gt;$B$12,0,IF(ABS(F50*(1+$B$10)-G50)&lt;0.005,0,F50*(1+$B$10)-G50))</f>
        <v>6486.65359782477</v>
      </c>
      <c r="I50" s="43" t="n">
        <f aca="false">IF(A50&gt;$B$7,I49,I49*(1+$B$6)+$B$8)</f>
        <v>20648.5527368314</v>
      </c>
    </row>
    <row r="51" customFormat="false" ht="15" hidden="false" customHeight="false" outlineLevel="0" collapsed="false">
      <c r="A51" s="13" t="n">
        <v>35</v>
      </c>
      <c r="B51" s="43" t="n">
        <f aca="false">IF(A51&gt;$B$7,"",IF(A51=1,$B$5,E50))</f>
        <v>5895.38922687874</v>
      </c>
      <c r="C51" s="43" t="n">
        <f aca="false">IF(A51&gt;$B$7,"",B51*$B$6)</f>
        <v>88.430838403181</v>
      </c>
      <c r="D51" s="43" t="n">
        <f aca="false">IF(A51&gt;$B$7,"",$B$8)</f>
        <v>469.999993730597</v>
      </c>
      <c r="E51" s="19" t="n">
        <f aca="false">IF(A51&gt;$B$7,0,IF(ABS(B51+C51-D51)&lt;0.005,0,B51+C51-D51))</f>
        <v>5513.82007155132</v>
      </c>
      <c r="F51" s="43" t="n">
        <f aca="false">IF(A51&gt;$B$12,"",IF(A51=1,$B$9,H50))</f>
        <v>6486.65359782477</v>
      </c>
      <c r="G51" s="43" t="n">
        <f aca="false">IF(A51&gt;$B$12,"",$B$13*(1+$B$11)^(A51-1))</f>
        <v>501.144218633381</v>
      </c>
      <c r="H51" s="19" t="n">
        <f aca="false">IF(A51&gt;$B$12,0,IF(ABS(F51*(1+$B$10)-G51)&lt;0.005,0,F51*(1+$B$10)-G51))</f>
        <v>6082.80918315876</v>
      </c>
      <c r="I51" s="43" t="n">
        <f aca="false">IF(A51&gt;$B$7,I50,I50*(1+$B$6)+$B$8)</f>
        <v>21428.2810216144</v>
      </c>
    </row>
    <row r="52" customFormat="false" ht="15" hidden="false" customHeight="false" outlineLevel="0" collapsed="false">
      <c r="A52" s="13" t="n">
        <v>36</v>
      </c>
      <c r="B52" s="43" t="n">
        <f aca="false">IF(A52&gt;$B$7,"",IF(A52=1,$B$5,E51))</f>
        <v>5513.82007155132</v>
      </c>
      <c r="C52" s="43" t="n">
        <f aca="false">IF(A52&gt;$B$7,"",B52*$B$6)</f>
        <v>82.7073010732698</v>
      </c>
      <c r="D52" s="43" t="n">
        <f aca="false">IF(A52&gt;$B$7,"",$B$8)</f>
        <v>469.999993730597</v>
      </c>
      <c r="E52" s="19" t="n">
        <f aca="false">IF(A52&gt;$B$7,0,IF(ABS(B52+C52-D52)&lt;0.005,0,B52+C52-D52))</f>
        <v>5126.52737889399</v>
      </c>
      <c r="F52" s="43" t="n">
        <f aca="false">IF(A52&gt;$B$12,"",IF(A52=1,$B$9,H51))</f>
        <v>6082.80918315876</v>
      </c>
      <c r="G52" s="43" t="n">
        <f aca="false">IF(A52&gt;$B$12,"",$B$13*(1+$B$11)^(A52-1))</f>
        <v>503.649939726548</v>
      </c>
      <c r="H52" s="19" t="n">
        <f aca="false">IF(A52&gt;$B$12,0,IF(ABS(F52*(1+$B$10)-G52)&lt;0.005,0,F52*(1+$B$10)-G52))</f>
        <v>5670.40138117959</v>
      </c>
      <c r="I52" s="43" t="n">
        <f aca="false">IF(A52&gt;$B$7,I51,I51*(1+$B$6)+$B$8)</f>
        <v>22219.7052306693</v>
      </c>
    </row>
    <row r="53" customFormat="false" ht="15" hidden="false" customHeight="false" outlineLevel="0" collapsed="false">
      <c r="A53" s="13" t="n">
        <v>37</v>
      </c>
      <c r="B53" s="43" t="n">
        <f aca="false">IF(A53&gt;$B$7,"",IF(A53=1,$B$5,E52))</f>
        <v>5126.52737889399</v>
      </c>
      <c r="C53" s="43" t="n">
        <f aca="false">IF(A53&gt;$B$7,"",B53*$B$6)</f>
        <v>76.8979106834099</v>
      </c>
      <c r="D53" s="43" t="n">
        <f aca="false">IF(A53&gt;$B$7,"",$B$8)</f>
        <v>469.999993730597</v>
      </c>
      <c r="E53" s="19" t="n">
        <f aca="false">IF(A53&gt;$B$7,0,IF(ABS(B53+C53-D53)&lt;0.005,0,B53+C53-D53))</f>
        <v>4733.4252958468</v>
      </c>
      <c r="F53" s="43" t="n">
        <f aca="false">IF(A53&gt;$B$12,"",IF(A53=1,$B$9,H52))</f>
        <v>5670.40138117959</v>
      </c>
      <c r="G53" s="43" t="n">
        <f aca="false">IF(A53&gt;$B$12,"",$B$13*(1+$B$11)^(A53-1))</f>
        <v>506.168189425181</v>
      </c>
      <c r="H53" s="19" t="n">
        <f aca="false">IF(A53&gt;$B$12,0,IF(ABS(F53*(1+$B$10)-G53)&lt;0.005,0,F53*(1+$B$10)-G53))</f>
        <v>5249.28921247211</v>
      </c>
      <c r="I53" s="43" t="n">
        <f aca="false">IF(A53&gt;$B$7,I52,I52*(1+$B$6)+$B$8)</f>
        <v>23023.0008028599</v>
      </c>
    </row>
    <row r="54" customFormat="false" ht="15" hidden="false" customHeight="false" outlineLevel="0" collapsed="false">
      <c r="A54" s="13" t="n">
        <v>38</v>
      </c>
      <c r="B54" s="43" t="n">
        <f aca="false">IF(A54&gt;$B$7,"",IF(A54=1,$B$5,E53))</f>
        <v>4733.4252958468</v>
      </c>
      <c r="C54" s="43" t="n">
        <f aca="false">IF(A54&gt;$B$7,"",B54*$B$6)</f>
        <v>71.001379437702</v>
      </c>
      <c r="D54" s="43" t="n">
        <f aca="false">IF(A54&gt;$B$7,"",$B$8)</f>
        <v>469.999993730597</v>
      </c>
      <c r="E54" s="19" t="n">
        <f aca="false">IF(A54&gt;$B$7,0,IF(ABS(B54+C54-D54)&lt;0.005,0,B54+C54-D54))</f>
        <v>4334.42668155391</v>
      </c>
      <c r="F54" s="43" t="n">
        <f aca="false">IF(A54&gt;$B$12,"",IF(A54=1,$B$9,H53))</f>
        <v>5249.28921247211</v>
      </c>
      <c r="G54" s="43" t="n">
        <f aca="false">IF(A54&gt;$B$12,"",$B$13*(1+$B$11)^(A54-1))</f>
        <v>508.699030372307</v>
      </c>
      <c r="H54" s="19" t="n">
        <f aca="false">IF(A54&gt;$B$12,0,IF(ABS(F54*(1+$B$10)-G54)&lt;0.005,0,F54*(1+$B$10)-G54))</f>
        <v>4819.32952028688</v>
      </c>
      <c r="I54" s="43" t="n">
        <f aca="false">IF(A54&gt;$B$7,I53,I53*(1+$B$6)+$B$8)</f>
        <v>23838.3458086334</v>
      </c>
    </row>
    <row r="55" customFormat="false" ht="15" hidden="false" customHeight="false" outlineLevel="0" collapsed="false">
      <c r="A55" s="13" t="n">
        <v>39</v>
      </c>
      <c r="B55" s="43" t="n">
        <f aca="false">IF(A55&gt;$B$7,"",IF(A55=1,$B$5,E54))</f>
        <v>4334.42668155391</v>
      </c>
      <c r="C55" s="43" t="n">
        <f aca="false">IF(A55&gt;$B$7,"",B55*$B$6)</f>
        <v>65.0164002233086</v>
      </c>
      <c r="D55" s="43" t="n">
        <f aca="false">IF(A55&gt;$B$7,"",$B$8)</f>
        <v>469.999993730597</v>
      </c>
      <c r="E55" s="19" t="n">
        <f aca="false">IF(A55&gt;$B$7,0,IF(ABS(B55+C55-D55)&lt;0.005,0,B55+C55-D55))</f>
        <v>3929.44308804662</v>
      </c>
      <c r="F55" s="43" t="n">
        <f aca="false">IF(A55&gt;$B$12,"",IF(A55=1,$B$9,H54))</f>
        <v>4819.32952028688</v>
      </c>
      <c r="G55" s="43" t="n">
        <f aca="false">IF(A55&gt;$B$12,"",$B$13*(1+$B$11)^(A55-1))</f>
        <v>511.242525524168</v>
      </c>
      <c r="H55" s="19" t="n">
        <f aca="false">IF(A55&gt;$B$12,0,IF(ABS(F55*(1+$B$10)-G55)&lt;0.005,0,F55*(1+$B$10)-G55))</f>
        <v>4380.37693756702</v>
      </c>
      <c r="I55" s="43" t="n">
        <f aca="false">IF(A55&gt;$B$7,I54,I54*(1+$B$6)+$B$8)</f>
        <v>24665.9209894935</v>
      </c>
    </row>
    <row r="56" customFormat="false" ht="15" hidden="false" customHeight="false" outlineLevel="0" collapsed="false">
      <c r="A56" s="13" t="n">
        <v>40</v>
      </c>
      <c r="B56" s="43" t="n">
        <f aca="false">IF(A56&gt;$B$7,"",IF(A56=1,$B$5,E55))</f>
        <v>3929.44308804662</v>
      </c>
      <c r="C56" s="43" t="n">
        <f aca="false">IF(A56&gt;$B$7,"",B56*$B$6)</f>
        <v>58.9416463206993</v>
      </c>
      <c r="D56" s="43" t="n">
        <f aca="false">IF(A56&gt;$B$7,"",$B$8)</f>
        <v>469.999993730597</v>
      </c>
      <c r="E56" s="19" t="n">
        <f aca="false">IF(A56&gt;$B$7,0,IF(ABS(B56+C56-D56)&lt;0.005,0,B56+C56-D56))</f>
        <v>3518.38474063672</v>
      </c>
      <c r="F56" s="43" t="n">
        <f aca="false">IF(A56&gt;$B$12,"",IF(A56=1,$B$9,H55))</f>
        <v>4380.37693756702</v>
      </c>
      <c r="G56" s="43" t="n">
        <f aca="false">IF(A56&gt;$B$12,"",$B$13*(1+$B$11)^(A56-1))</f>
        <v>513.798738151789</v>
      </c>
      <c r="H56" s="19" t="n">
        <f aca="false">IF(A56&gt;$B$12,0,IF(ABS(F56*(1+$B$10)-G56)&lt;0.005,0,F56*(1+$B$10)-G56))</f>
        <v>3932.28385347873</v>
      </c>
      <c r="I56" s="43" t="n">
        <f aca="false">IF(A56&gt;$B$7,I55,I55*(1+$B$6)+$B$8)</f>
        <v>25505.9097980665</v>
      </c>
    </row>
    <row r="57" customFormat="false" ht="15" hidden="false" customHeight="false" outlineLevel="0" collapsed="false">
      <c r="A57" s="13" t="n">
        <v>41</v>
      </c>
      <c r="B57" s="43" t="n">
        <f aca="false">IF(A57&gt;$B$7,"",IF(A57=1,$B$5,E56))</f>
        <v>3518.38474063672</v>
      </c>
      <c r="C57" s="43" t="n">
        <f aca="false">IF(A57&gt;$B$7,"",B57*$B$6)</f>
        <v>52.7757711095508</v>
      </c>
      <c r="D57" s="43" t="n">
        <f aca="false">IF(A57&gt;$B$7,"",$B$8)</f>
        <v>469.999993730597</v>
      </c>
      <c r="E57" s="19" t="n">
        <f aca="false">IF(A57&gt;$B$7,0,IF(ABS(B57+C57-D57)&lt;0.005,0,B57+C57-D57))</f>
        <v>3101.16051801567</v>
      </c>
      <c r="F57" s="43" t="n">
        <f aca="false">IF(A57&gt;$B$12,"",IF(A57=1,$B$9,H56))</f>
        <v>3932.28385347873</v>
      </c>
      <c r="G57" s="43" t="n">
        <f aca="false">IF(A57&gt;$B$12,"",$B$13*(1+$B$11)^(A57-1))</f>
        <v>516.367731842548</v>
      </c>
      <c r="H57" s="19" t="n">
        <f aca="false">IF(A57&gt;$B$12,0,IF(ABS(F57*(1+$B$10)-G57)&lt;0.005,0,F57*(1+$B$10)-G57))</f>
        <v>3474.90037943836</v>
      </c>
      <c r="I57" s="43" t="n">
        <f aca="false">IF(A57&gt;$B$7,I56,I56*(1+$B$6)+$B$8)</f>
        <v>26358.4984387681</v>
      </c>
    </row>
    <row r="58" customFormat="false" ht="15" hidden="false" customHeight="false" outlineLevel="0" collapsed="false">
      <c r="A58" s="13" t="n">
        <v>42</v>
      </c>
      <c r="B58" s="43" t="n">
        <f aca="false">IF(A58&gt;$B$7,"",IF(A58=1,$B$5,E57))</f>
        <v>3101.16051801567</v>
      </c>
      <c r="C58" s="43" t="n">
        <f aca="false">IF(A58&gt;$B$7,"",B58*$B$6)</f>
        <v>46.5174077702351</v>
      </c>
      <c r="D58" s="43" t="n">
        <f aca="false">IF(A58&gt;$B$7,"",$B$8)</f>
        <v>469.999993730597</v>
      </c>
      <c r="E58" s="19" t="n">
        <f aca="false">IF(A58&gt;$B$7,0,IF(ABS(B58+C58-D58)&lt;0.005,0,B58+C58-D58))</f>
        <v>2677.67793205531</v>
      </c>
      <c r="F58" s="43" t="n">
        <f aca="false">IF(A58&gt;$B$12,"",IF(A58=1,$B$9,H57))</f>
        <v>3474.90037943836</v>
      </c>
      <c r="G58" s="43" t="n">
        <f aca="false">IF(A58&gt;$B$12,"",$B$13*(1+$B$11)^(A58-1))</f>
        <v>518.94957050176</v>
      </c>
      <c r="H58" s="19" t="n">
        <f aca="false">IF(A58&gt;$B$12,0,IF(ABS(F58*(1+$B$10)-G58)&lt;0.005,0,F58*(1+$B$10)-G58))</f>
        <v>3008.07431462818</v>
      </c>
      <c r="I58" s="43" t="n">
        <f aca="false">IF(A58&gt;$B$7,I57,I57*(1+$B$6)+$B$8)</f>
        <v>27223.8759090802</v>
      </c>
    </row>
    <row r="59" customFormat="false" ht="15" hidden="false" customHeight="false" outlineLevel="0" collapsed="false">
      <c r="A59" s="13" t="n">
        <v>43</v>
      </c>
      <c r="B59" s="43" t="n">
        <f aca="false">IF(A59&gt;$B$7,"",IF(A59=1,$B$5,E58))</f>
        <v>2677.67793205531</v>
      </c>
      <c r="C59" s="43" t="n">
        <f aca="false">IF(A59&gt;$B$7,"",B59*$B$6)</f>
        <v>40.1651689808297</v>
      </c>
      <c r="D59" s="43" t="n">
        <f aca="false">IF(A59&gt;$B$7,"",$B$8)</f>
        <v>469.999993730597</v>
      </c>
      <c r="E59" s="19" t="n">
        <f aca="false">IF(A59&gt;$B$7,0,IF(ABS(B59+C59-D59)&lt;0.005,0,B59+C59-D59))</f>
        <v>2247.84310730554</v>
      </c>
      <c r="F59" s="43" t="n">
        <f aca="false">IF(A59&gt;$B$12,"",IF(A59=1,$B$9,H58))</f>
        <v>3008.07431462818</v>
      </c>
      <c r="G59" s="43" t="n">
        <f aca="false">IF(A59&gt;$B$12,"",$B$13*(1+$B$11)^(A59-1))</f>
        <v>521.544318354269</v>
      </c>
      <c r="H59" s="19" t="n">
        <f aca="false">IF(A59&gt;$B$12,0,IF(ABS(F59*(1+$B$10)-G59)&lt;0.005,0,F59*(1+$B$10)-G59))</f>
        <v>2531.65111099333</v>
      </c>
      <c r="I59" s="43" t="n">
        <f aca="false">IF(A59&gt;$B$7,I58,I58*(1+$B$6)+$B$8)</f>
        <v>28102.234041447</v>
      </c>
    </row>
    <row r="60" customFormat="false" ht="15" hidden="false" customHeight="false" outlineLevel="0" collapsed="false">
      <c r="A60" s="13" t="n">
        <v>44</v>
      </c>
      <c r="B60" s="43" t="n">
        <f aca="false">IF(A60&gt;$B$7,"",IF(A60=1,$B$5,E59))</f>
        <v>2247.84310730554</v>
      </c>
      <c r="C60" s="43" t="n">
        <f aca="false">IF(A60&gt;$B$7,"",B60*$B$6)</f>
        <v>33.7176466095832</v>
      </c>
      <c r="D60" s="43" t="n">
        <f aca="false">IF(A60&gt;$B$7,"",$B$8)</f>
        <v>469.999993730597</v>
      </c>
      <c r="E60" s="19" t="n">
        <f aca="false">IF(A60&gt;$B$7,0,IF(ABS(B60+C60-D60)&lt;0.005,0,B60+C60-D60))</f>
        <v>1811.56076018453</v>
      </c>
      <c r="F60" s="43" t="n">
        <f aca="false">IF(A60&gt;$B$12,"",IF(A60=1,$B$9,H59))</f>
        <v>2531.65111099333</v>
      </c>
      <c r="G60" s="43" t="n">
        <f aca="false">IF(A60&gt;$B$12,"",$B$13*(1+$B$11)^(A60-1))</f>
        <v>524.15203994604</v>
      </c>
      <c r="H60" s="19" t="n">
        <f aca="false">IF(A60&gt;$B$12,0,IF(ABS(F60*(1+$B$10)-G60)&lt;0.005,0,F60*(1+$B$10)-G60))</f>
        <v>2045.47383771219</v>
      </c>
      <c r="I60" s="43" t="n">
        <f aca="false">IF(A60&gt;$B$7,I59,I59*(1+$B$6)+$B$8)</f>
        <v>28993.7675457993</v>
      </c>
    </row>
    <row r="61" customFormat="false" ht="15" hidden="false" customHeight="false" outlineLevel="0" collapsed="false">
      <c r="A61" s="13" t="n">
        <v>45</v>
      </c>
      <c r="B61" s="43" t="n">
        <f aca="false">IF(A61&gt;$B$7,"",IF(A61=1,$B$5,E60))</f>
        <v>1811.56076018453</v>
      </c>
      <c r="C61" s="43" t="n">
        <f aca="false">IF(A61&gt;$B$7,"",B61*$B$6)</f>
        <v>27.1734114027679</v>
      </c>
      <c r="D61" s="43" t="n">
        <f aca="false">IF(A61&gt;$B$7,"",$B$8)</f>
        <v>469.999993730597</v>
      </c>
      <c r="E61" s="19" t="n">
        <f aca="false">IF(A61&gt;$B$7,0,IF(ABS(B61+C61-D61)&lt;0.005,0,B61+C61-D61))</f>
        <v>1368.7341778567</v>
      </c>
      <c r="F61" s="43" t="n">
        <f aca="false">IF(A61&gt;$B$12,"",IF(A61=1,$B$9,H60))</f>
        <v>2045.47383771219</v>
      </c>
      <c r="G61" s="43" t="n">
        <f aca="false">IF(A61&gt;$B$12,"",$B$13*(1+$B$11)^(A61-1))</f>
        <v>526.772800145771</v>
      </c>
      <c r="H61" s="19" t="n">
        <f aca="false">IF(A61&gt;$B$12,0,IF(ABS(F61*(1+$B$10)-G61)&lt;0.005,0,F61*(1+$B$10)-G61))</f>
        <v>1549.3831451321</v>
      </c>
      <c r="I61" s="43" t="n">
        <f aca="false">IF(A61&gt;$B$7,I60,I60*(1+$B$6)+$B$8)</f>
        <v>29898.6740527169</v>
      </c>
    </row>
    <row r="62" customFormat="false" ht="15" hidden="false" customHeight="false" outlineLevel="0" collapsed="false">
      <c r="A62" s="13" t="n">
        <v>46</v>
      </c>
      <c r="B62" s="43" t="n">
        <f aca="false">IF(A62&gt;$B$7,"",IF(A62=1,$B$5,E61))</f>
        <v>1368.7341778567</v>
      </c>
      <c r="C62" s="43" t="n">
        <f aca="false">IF(A62&gt;$B$7,"",B62*$B$6)</f>
        <v>20.5310126678505</v>
      </c>
      <c r="D62" s="43" t="n">
        <f aca="false">IF(A62&gt;$B$7,"",$B$8)</f>
        <v>469.999993730597</v>
      </c>
      <c r="E62" s="19" t="n">
        <f aca="false">IF(A62&gt;$B$7,0,IF(ABS(B62+C62-D62)&lt;0.005,0,B62+C62-D62))</f>
        <v>919.265196793953</v>
      </c>
      <c r="F62" s="43" t="n">
        <f aca="false">IF(A62&gt;$B$12,"",IF(A62=1,$B$9,H61))</f>
        <v>1549.3831451321</v>
      </c>
      <c r="G62" s="43" t="n">
        <f aca="false">IF(A62&gt;$B$12,"",$B$13*(1+$B$11)^(A62-1))</f>
        <v>529.406664146499</v>
      </c>
      <c r="H62" s="19" t="n">
        <f aca="false">IF(A62&gt;$B$12,0,IF(ABS(F62*(1+$B$10)-G62)&lt;0.005,0,F62*(1+$B$10)-G62))</f>
        <v>1043.21722816259</v>
      </c>
      <c r="I62" s="43" t="n">
        <f aca="false">IF(A62&gt;$B$7,I61,I61*(1+$B$6)+$B$8)</f>
        <v>30817.1541572382</v>
      </c>
    </row>
    <row r="63" customFormat="false" ht="15" hidden="false" customHeight="false" outlineLevel="0" collapsed="false">
      <c r="A63" s="13" t="n">
        <v>47</v>
      </c>
      <c r="B63" s="43" t="n">
        <f aca="false">IF(A63&gt;$B$7,"",IF(A63=1,$B$5,E62))</f>
        <v>919.265196793953</v>
      </c>
      <c r="C63" s="43" t="n">
        <f aca="false">IF(A63&gt;$B$7,"",B63*$B$6)</f>
        <v>13.7889779519093</v>
      </c>
      <c r="D63" s="43" t="n">
        <f aca="false">IF(A63&gt;$B$7,"",$B$8)</f>
        <v>469.999993730597</v>
      </c>
      <c r="E63" s="19" t="n">
        <f aca="false">IF(A63&gt;$B$7,0,IF(ABS(B63+C63-D63)&lt;0.005,0,B63+C63-D63))</f>
        <v>463.054181015265</v>
      </c>
      <c r="F63" s="43" t="n">
        <f aca="false">IF(A63&gt;$B$12,"",IF(A63=1,$B$9,H62))</f>
        <v>1043.21722816259</v>
      </c>
      <c r="G63" s="43" t="n">
        <f aca="false">IF(A63&gt;$B$12,"",$B$13*(1+$B$11)^(A63-1))</f>
        <v>532.053697467232</v>
      </c>
      <c r="H63" s="19" t="n">
        <f aca="false">IF(A63&gt;$B$12,0,IF(ABS(F63*(1+$B$10)-G63)&lt;0.005,0,F63*(1+$B$10)-G63))</f>
        <v>526.811789117793</v>
      </c>
      <c r="I63" s="43" t="n">
        <f aca="false">IF(A63&gt;$B$7,I62,I62*(1+$B$6)+$B$8)</f>
        <v>31749.4114633274</v>
      </c>
    </row>
    <row r="64" customFormat="false" ht="15" hidden="false" customHeight="false" outlineLevel="0" collapsed="false">
      <c r="A64" s="13" t="n">
        <v>48</v>
      </c>
      <c r="B64" s="43" t="n">
        <f aca="false">IF(A64&gt;$B$7,"",IF(A64=1,$B$5,E63))</f>
        <v>463.054181015265</v>
      </c>
      <c r="C64" s="43" t="n">
        <f aca="false">IF(A64&gt;$B$7,"",B64*$B$6)</f>
        <v>6.94581271522897</v>
      </c>
      <c r="D64" s="43" t="n">
        <f aca="false">IF(A64&gt;$B$7,"",$B$8)</f>
        <v>469.999993730597</v>
      </c>
      <c r="E64" s="19" t="n">
        <f aca="false">IF(A64&gt;$B$7,0,IF(ABS(B64+C64-D64)&lt;0.005,0,B64+C64-D64))</f>
        <v>0</v>
      </c>
      <c r="F64" s="43" t="n">
        <f aca="false">IF(A64&gt;$B$12,"",IF(A64=1,$B$9,H63))</f>
        <v>526.811789117793</v>
      </c>
      <c r="G64" s="43" t="n">
        <f aca="false">IF(A64&gt;$B$12,"",$B$13*(1+$B$11)^(A64-1))</f>
        <v>534.713965954568</v>
      </c>
      <c r="H64" s="19" t="n">
        <f aca="false">IF(A64&gt;$B$12,0,IF(ABS(F64*(1+$B$10)-G64)&lt;0.005,0,F64*(1+$B$10)-G64))</f>
        <v>0</v>
      </c>
      <c r="I64" s="43" t="n">
        <f aca="false">IF(A64&gt;$B$7,I63,I63*(1+$B$6)+$B$8)</f>
        <v>32695.6526290079</v>
      </c>
    </row>
    <row r="65" customFormat="false" ht="15" hidden="false" customHeight="false" outlineLevel="0" collapsed="false">
      <c r="A65" s="13" t="n">
        <v>49</v>
      </c>
      <c r="B65" s="43" t="str">
        <f aca="false">IF(A65&gt;$B$7,"",IF(A65=1,$B$5,E64))</f>
        <v/>
      </c>
      <c r="C65" s="43" t="str">
        <f aca="false">IF(A65&gt;$B$7,"",B65*$B$6)</f>
        <v/>
      </c>
      <c r="D65" s="43" t="str">
        <f aca="false">IF(A65&gt;$B$7,"",$B$8)</f>
        <v/>
      </c>
      <c r="E65" s="19" t="n">
        <f aca="false">IF(A65&gt;$B$7,0,IF(ABS(B65+C65-D65)&lt;0.005,0,B65+C65-D65))</f>
        <v>0</v>
      </c>
      <c r="F65" s="43" t="str">
        <f aca="false">IF(A65&gt;$B$12,"",IF(A65=1,$B$9,H64))</f>
        <v/>
      </c>
      <c r="G65" s="43" t="str">
        <f aca="false">IF(A65&gt;$B$12,"",$B$13*(1+$B$11)^(A65-1))</f>
        <v/>
      </c>
      <c r="H65" s="19" t="n">
        <f aca="false">IF(A65&gt;$B$12,0,IF(ABS(F65*(1+$B$10)-G65)&lt;0.005,0,F65*(1+$B$10)-G65))</f>
        <v>0</v>
      </c>
      <c r="I65" s="43" t="n">
        <f aca="false">IF(A65&gt;$B$7,I64,I64*(1+$B$6)+$B$8)</f>
        <v>32695.6526290079</v>
      </c>
    </row>
    <row r="66" customFormat="false" ht="15" hidden="false" customHeight="false" outlineLevel="0" collapsed="false">
      <c r="A66" s="13" t="n">
        <v>50</v>
      </c>
      <c r="B66" s="43" t="str">
        <f aca="false">IF(A66&gt;$B$7,"",IF(A66=1,$B$5,E65))</f>
        <v/>
      </c>
      <c r="C66" s="43" t="str">
        <f aca="false">IF(A66&gt;$B$7,"",B66*$B$6)</f>
        <v/>
      </c>
      <c r="D66" s="43" t="str">
        <f aca="false">IF(A66&gt;$B$7,"",$B$8)</f>
        <v/>
      </c>
      <c r="E66" s="19" t="n">
        <f aca="false">IF(A66&gt;$B$7,0,IF(ABS(B66+C66-D66)&lt;0.005,0,B66+C66-D66))</f>
        <v>0</v>
      </c>
      <c r="F66" s="43" t="str">
        <f aca="false">IF(A66&gt;$B$12,"",IF(A66=1,$B$9,H65))</f>
        <v/>
      </c>
      <c r="G66" s="43" t="str">
        <f aca="false">IF(A66&gt;$B$12,"",$B$13*(1+$B$11)^(A66-1))</f>
        <v/>
      </c>
      <c r="H66" s="19" t="n">
        <f aca="false">IF(A66&gt;$B$12,0,IF(ABS(F66*(1+$B$10)-G66)&lt;0.005,0,F66*(1+$B$10)-G66))</f>
        <v>0</v>
      </c>
      <c r="I66" s="43" t="n">
        <f aca="false">IF(A66&gt;$B$7,I65,I65*(1+$B$6)+$B$8)</f>
        <v>32695.6526290079</v>
      </c>
    </row>
    <row r="67" customFormat="false" ht="15" hidden="false" customHeight="false" outlineLevel="0" collapsed="false">
      <c r="A67" s="13" t="n">
        <v>51</v>
      </c>
      <c r="B67" s="43" t="str">
        <f aca="false">IF(A67&gt;$B$7,"",IF(A67=1,$B$5,E66))</f>
        <v/>
      </c>
      <c r="C67" s="43" t="str">
        <f aca="false">IF(A67&gt;$B$7,"",B67*$B$6)</f>
        <v/>
      </c>
      <c r="D67" s="43" t="str">
        <f aca="false">IF(A67&gt;$B$7,"",$B$8)</f>
        <v/>
      </c>
      <c r="E67" s="19" t="n">
        <f aca="false">IF(A67&gt;$B$7,0,IF(ABS(B67+C67-D67)&lt;0.005,0,B67+C67-D67))</f>
        <v>0</v>
      </c>
      <c r="F67" s="43" t="str">
        <f aca="false">IF(A67&gt;$B$12,"",IF(A67=1,$B$9,H66))</f>
        <v/>
      </c>
      <c r="G67" s="43" t="str">
        <f aca="false">IF(A67&gt;$B$12,"",$B$13*(1+$B$11)^(A67-1))</f>
        <v/>
      </c>
      <c r="H67" s="19" t="n">
        <f aca="false">IF(A67&gt;$B$12,0,IF(ABS(F67*(1+$B$10)-G67)&lt;0.005,0,F67*(1+$B$10)-G67))</f>
        <v>0</v>
      </c>
      <c r="I67" s="43" t="n">
        <f aca="false">IF(A67&gt;$B$7,I66,I66*(1+$B$6)+$B$8)</f>
        <v>32695.6526290079</v>
      </c>
    </row>
    <row r="68" customFormat="false" ht="15" hidden="false" customHeight="false" outlineLevel="0" collapsed="false">
      <c r="A68" s="13" t="n">
        <v>52</v>
      </c>
      <c r="B68" s="43" t="str">
        <f aca="false">IF(A68&gt;$B$7,"",IF(A68=1,$B$5,E67))</f>
        <v/>
      </c>
      <c r="C68" s="43" t="str">
        <f aca="false">IF(A68&gt;$B$7,"",B68*$B$6)</f>
        <v/>
      </c>
      <c r="D68" s="43" t="str">
        <f aca="false">IF(A68&gt;$B$7,"",$B$8)</f>
        <v/>
      </c>
      <c r="E68" s="19" t="n">
        <f aca="false">IF(A68&gt;$B$7,0,IF(ABS(B68+C68-D68)&lt;0.005,0,B68+C68-D68))</f>
        <v>0</v>
      </c>
      <c r="F68" s="43" t="str">
        <f aca="false">IF(A68&gt;$B$12,"",IF(A68=1,$B$9,H67))</f>
        <v/>
      </c>
      <c r="G68" s="43" t="str">
        <f aca="false">IF(A68&gt;$B$12,"",$B$13*(1+$B$11)^(A68-1))</f>
        <v/>
      </c>
      <c r="H68" s="19" t="n">
        <f aca="false">IF(A68&gt;$B$12,0,IF(ABS(F68*(1+$B$10)-G68)&lt;0.005,0,F68*(1+$B$10)-G68))</f>
        <v>0</v>
      </c>
      <c r="I68" s="43" t="n">
        <f aca="false">IF(A68&gt;$B$7,I67,I67*(1+$B$6)+$B$8)</f>
        <v>32695.6526290079</v>
      </c>
    </row>
    <row r="69" customFormat="false" ht="15" hidden="false" customHeight="false" outlineLevel="0" collapsed="false">
      <c r="A69" s="13" t="n">
        <v>53</v>
      </c>
      <c r="B69" s="43" t="str">
        <f aca="false">IF(A69&gt;$B$7,"",IF(A69=1,$B$5,E68))</f>
        <v/>
      </c>
      <c r="C69" s="43" t="str">
        <f aca="false">IF(A69&gt;$B$7,"",B69*$B$6)</f>
        <v/>
      </c>
      <c r="D69" s="43" t="str">
        <f aca="false">IF(A69&gt;$B$7,"",$B$8)</f>
        <v/>
      </c>
      <c r="E69" s="19" t="n">
        <f aca="false">IF(A69&gt;$B$7,0,IF(ABS(B69+C69-D69)&lt;0.005,0,B69+C69-D69))</f>
        <v>0</v>
      </c>
      <c r="F69" s="43" t="str">
        <f aca="false">IF(A69&gt;$B$12,"",IF(A69=1,$B$9,H68))</f>
        <v/>
      </c>
      <c r="G69" s="43" t="str">
        <f aca="false">IF(A69&gt;$B$12,"",$B$13*(1+$B$11)^(A69-1))</f>
        <v/>
      </c>
      <c r="H69" s="19" t="n">
        <f aca="false">IF(A69&gt;$B$12,0,IF(ABS(F69*(1+$B$10)-G69)&lt;0.005,0,F69*(1+$B$10)-G69))</f>
        <v>0</v>
      </c>
      <c r="I69" s="43" t="n">
        <f aca="false">IF(A69&gt;$B$7,I68,I68*(1+$B$6)+$B$8)</f>
        <v>32695.6526290079</v>
      </c>
    </row>
    <row r="70" customFormat="false" ht="15" hidden="false" customHeight="false" outlineLevel="0" collapsed="false">
      <c r="A70" s="13" t="n">
        <v>54</v>
      </c>
      <c r="B70" s="43" t="str">
        <f aca="false">IF(A70&gt;$B$7,"",IF(A70=1,$B$5,E69))</f>
        <v/>
      </c>
      <c r="C70" s="43" t="str">
        <f aca="false">IF(A70&gt;$B$7,"",B70*$B$6)</f>
        <v/>
      </c>
      <c r="D70" s="43" t="str">
        <f aca="false">IF(A70&gt;$B$7,"",$B$8)</f>
        <v/>
      </c>
      <c r="E70" s="19" t="n">
        <f aca="false">IF(A70&gt;$B$7,0,IF(ABS(B70+C70-D70)&lt;0.005,0,B70+C70-D70))</f>
        <v>0</v>
      </c>
      <c r="F70" s="43" t="str">
        <f aca="false">IF(A70&gt;$B$12,"",IF(A70=1,$B$9,H69))</f>
        <v/>
      </c>
      <c r="G70" s="43" t="str">
        <f aca="false">IF(A70&gt;$B$12,"",$B$13*(1+$B$11)^(A70-1))</f>
        <v/>
      </c>
      <c r="H70" s="19" t="n">
        <f aca="false">IF(A70&gt;$B$12,0,IF(ABS(F70*(1+$B$10)-G70)&lt;0.005,0,F70*(1+$B$10)-G70))</f>
        <v>0</v>
      </c>
      <c r="I70" s="43" t="n">
        <f aca="false">IF(A70&gt;$B$7,I69,I69*(1+$B$6)+$B$8)</f>
        <v>32695.6526290079</v>
      </c>
    </row>
    <row r="71" customFormat="false" ht="15" hidden="false" customHeight="false" outlineLevel="0" collapsed="false">
      <c r="A71" s="13" t="n">
        <v>55</v>
      </c>
      <c r="B71" s="43" t="str">
        <f aca="false">IF(A71&gt;$B$7,"",IF(A71=1,$B$5,E70))</f>
        <v/>
      </c>
      <c r="C71" s="43" t="str">
        <f aca="false">IF(A71&gt;$B$7,"",B71*$B$6)</f>
        <v/>
      </c>
      <c r="D71" s="43" t="str">
        <f aca="false">IF(A71&gt;$B$7,"",$B$8)</f>
        <v/>
      </c>
      <c r="E71" s="19" t="n">
        <f aca="false">IF(A71&gt;$B$7,0,IF(ABS(B71+C71-D71)&lt;0.005,0,B71+C71-D71))</f>
        <v>0</v>
      </c>
      <c r="F71" s="43" t="str">
        <f aca="false">IF(A71&gt;$B$12,"",IF(A71=1,$B$9,H70))</f>
        <v/>
      </c>
      <c r="G71" s="43" t="str">
        <f aca="false">IF(A71&gt;$B$12,"",$B$13*(1+$B$11)^(A71-1))</f>
        <v/>
      </c>
      <c r="H71" s="19" t="n">
        <f aca="false">IF(A71&gt;$B$12,0,IF(ABS(F71*(1+$B$10)-G71)&lt;0.005,0,F71*(1+$B$10)-G71))</f>
        <v>0</v>
      </c>
      <c r="I71" s="43" t="n">
        <f aca="false">IF(A71&gt;$B$7,I70,I70*(1+$B$6)+$B$8)</f>
        <v>32695.6526290079</v>
      </c>
    </row>
    <row r="72" customFormat="false" ht="15" hidden="false" customHeight="false" outlineLevel="0" collapsed="false">
      <c r="A72" s="13" t="n">
        <v>56</v>
      </c>
      <c r="B72" s="43" t="str">
        <f aca="false">IF(A72&gt;$B$7,"",IF(A72=1,$B$5,E71))</f>
        <v/>
      </c>
      <c r="C72" s="43" t="str">
        <f aca="false">IF(A72&gt;$B$7,"",B72*$B$6)</f>
        <v/>
      </c>
      <c r="D72" s="43" t="str">
        <f aca="false">IF(A72&gt;$B$7,"",$B$8)</f>
        <v/>
      </c>
      <c r="E72" s="19" t="n">
        <f aca="false">IF(A72&gt;$B$7,0,IF(ABS(B72+C72-D72)&lt;0.005,0,B72+C72-D72))</f>
        <v>0</v>
      </c>
      <c r="F72" s="43" t="str">
        <f aca="false">IF(A72&gt;$B$12,"",IF(A72=1,$B$9,H71))</f>
        <v/>
      </c>
      <c r="G72" s="43" t="str">
        <f aca="false">IF(A72&gt;$B$12,"",$B$13*(1+$B$11)^(A72-1))</f>
        <v/>
      </c>
      <c r="H72" s="19" t="n">
        <f aca="false">IF(A72&gt;$B$12,0,IF(ABS(F72*(1+$B$10)-G72)&lt;0.005,0,F72*(1+$B$10)-G72))</f>
        <v>0</v>
      </c>
      <c r="I72" s="43" t="n">
        <f aca="false">IF(A72&gt;$B$7,I71,I71*(1+$B$6)+$B$8)</f>
        <v>32695.6526290079</v>
      </c>
    </row>
    <row r="73" customFormat="false" ht="15" hidden="false" customHeight="false" outlineLevel="0" collapsed="false">
      <c r="A73" s="13" t="n">
        <v>57</v>
      </c>
      <c r="B73" s="43" t="str">
        <f aca="false">IF(A73&gt;$B$7,"",IF(A73=1,$B$5,E72))</f>
        <v/>
      </c>
      <c r="C73" s="43" t="str">
        <f aca="false">IF(A73&gt;$B$7,"",B73*$B$6)</f>
        <v/>
      </c>
      <c r="D73" s="43" t="str">
        <f aca="false">IF(A73&gt;$B$7,"",$B$8)</f>
        <v/>
      </c>
      <c r="E73" s="19" t="n">
        <f aca="false">IF(A73&gt;$B$7,0,IF(ABS(B73+C73-D73)&lt;0.005,0,B73+C73-D73))</f>
        <v>0</v>
      </c>
      <c r="F73" s="43" t="str">
        <f aca="false">IF(A73&gt;$B$12,"",IF(A73=1,$B$9,H72))</f>
        <v/>
      </c>
      <c r="G73" s="43" t="str">
        <f aca="false">IF(A73&gt;$B$12,"",$B$13*(1+$B$11)^(A73-1))</f>
        <v/>
      </c>
      <c r="H73" s="19" t="n">
        <f aca="false">IF(A73&gt;$B$12,0,IF(ABS(F73*(1+$B$10)-G73)&lt;0.005,0,F73*(1+$B$10)-G73))</f>
        <v>0</v>
      </c>
      <c r="I73" s="43" t="n">
        <f aca="false">IF(A73&gt;$B$7,I72,I72*(1+$B$6)+$B$8)</f>
        <v>32695.6526290079</v>
      </c>
    </row>
    <row r="74" customFormat="false" ht="15" hidden="false" customHeight="false" outlineLevel="0" collapsed="false">
      <c r="A74" s="13" t="n">
        <v>58</v>
      </c>
      <c r="B74" s="43" t="str">
        <f aca="false">IF(A74&gt;$B$7,"",IF(A74=1,$B$5,E73))</f>
        <v/>
      </c>
      <c r="C74" s="43" t="str">
        <f aca="false">IF(A74&gt;$B$7,"",B74*$B$6)</f>
        <v/>
      </c>
      <c r="D74" s="43" t="str">
        <f aca="false">IF(A74&gt;$B$7,"",$B$8)</f>
        <v/>
      </c>
      <c r="E74" s="19" t="n">
        <f aca="false">IF(A74&gt;$B$7,0,IF(ABS(B74+C74-D74)&lt;0.005,0,B74+C74-D74))</f>
        <v>0</v>
      </c>
      <c r="F74" s="43" t="str">
        <f aca="false">IF(A74&gt;$B$12,"",IF(A74=1,$B$9,H73))</f>
        <v/>
      </c>
      <c r="G74" s="43" t="str">
        <f aca="false">IF(A74&gt;$B$12,"",$B$13*(1+$B$11)^(A74-1))</f>
        <v/>
      </c>
      <c r="H74" s="19" t="n">
        <f aca="false">IF(A74&gt;$B$12,0,IF(ABS(F74*(1+$B$10)-G74)&lt;0.005,0,F74*(1+$B$10)-G74))</f>
        <v>0</v>
      </c>
      <c r="I74" s="43" t="n">
        <f aca="false">IF(A74&gt;$B$7,I73,I73*(1+$B$6)+$B$8)</f>
        <v>32695.6526290079</v>
      </c>
    </row>
    <row r="75" customFormat="false" ht="15" hidden="false" customHeight="false" outlineLevel="0" collapsed="false">
      <c r="A75" s="13" t="n">
        <v>59</v>
      </c>
      <c r="B75" s="43" t="str">
        <f aca="false">IF(A75&gt;$B$7,"",IF(A75=1,$B$5,E74))</f>
        <v/>
      </c>
      <c r="C75" s="43" t="str">
        <f aca="false">IF(A75&gt;$B$7,"",B75*$B$6)</f>
        <v/>
      </c>
      <c r="D75" s="43" t="str">
        <f aca="false">IF(A75&gt;$B$7,"",$B$8)</f>
        <v/>
      </c>
      <c r="E75" s="19" t="n">
        <f aca="false">IF(A75&gt;$B$7,0,IF(ABS(B75+C75-D75)&lt;0.005,0,B75+C75-D75))</f>
        <v>0</v>
      </c>
      <c r="F75" s="43" t="str">
        <f aca="false">IF(A75&gt;$B$12,"",IF(A75=1,$B$9,H74))</f>
        <v/>
      </c>
      <c r="G75" s="43" t="str">
        <f aca="false">IF(A75&gt;$B$12,"",$B$13*(1+$B$11)^(A75-1))</f>
        <v/>
      </c>
      <c r="H75" s="19" t="n">
        <f aca="false">IF(A75&gt;$B$12,0,IF(ABS(F75*(1+$B$10)-G75)&lt;0.005,0,F75*(1+$B$10)-G75))</f>
        <v>0</v>
      </c>
      <c r="I75" s="43" t="n">
        <f aca="false">IF(A75&gt;$B$7,I74,I74*(1+$B$6)+$B$8)</f>
        <v>32695.6526290079</v>
      </c>
    </row>
    <row r="76" customFormat="false" ht="15" hidden="false" customHeight="false" outlineLevel="0" collapsed="false">
      <c r="A76" s="13" t="n">
        <v>60</v>
      </c>
      <c r="B76" s="43" t="str">
        <f aca="false">IF(A76&gt;$B$7,"",IF(A76=1,$B$5,E75))</f>
        <v/>
      </c>
      <c r="C76" s="43" t="str">
        <f aca="false">IF(A76&gt;$B$7,"",B76*$B$6)</f>
        <v/>
      </c>
      <c r="D76" s="43" t="str">
        <f aca="false">IF(A76&gt;$B$7,"",$B$8)</f>
        <v/>
      </c>
      <c r="E76" s="19" t="n">
        <f aca="false">IF(A76&gt;$B$7,0,IF(ABS(B76+C76-D76)&lt;0.005,0,B76+C76-D76))</f>
        <v>0</v>
      </c>
      <c r="F76" s="43" t="str">
        <f aca="false">IF(A76&gt;$B$12,"",IF(A76=1,$B$9,H75))</f>
        <v/>
      </c>
      <c r="G76" s="43" t="str">
        <f aca="false">IF(A76&gt;$B$12,"",$B$13*(1+$B$11)^(A76-1))</f>
        <v/>
      </c>
      <c r="H76" s="19" t="n">
        <f aca="false">IF(A76&gt;$B$12,0,IF(ABS(F76*(1+$B$10)-G76)&lt;0.005,0,F76*(1+$B$10)-G76))</f>
        <v>0</v>
      </c>
      <c r="I76" s="43" t="n">
        <f aca="false">IF(A76&gt;$B$7,I75,I75*(1+$B$6)+$B$8)</f>
        <v>32695.6526290079</v>
      </c>
    </row>
    <row r="77" customFormat="false" ht="15" hidden="false" customHeight="false" outlineLevel="0" collapsed="false">
      <c r="A77" s="13" t="n">
        <v>61</v>
      </c>
      <c r="B77" s="43" t="str">
        <f aca="false">IF(A77&gt;$B$7,"",IF(A77=1,$B$5,E76))</f>
        <v/>
      </c>
      <c r="C77" s="43" t="str">
        <f aca="false">IF(A77&gt;$B$7,"",B77*$B$6)</f>
        <v/>
      </c>
      <c r="D77" s="43" t="str">
        <f aca="false">IF(A77&gt;$B$7,"",$B$8)</f>
        <v/>
      </c>
      <c r="E77" s="19" t="n">
        <f aca="false">IF(A77&gt;$B$7,0,IF(ABS(B77+C77-D77)&lt;0.005,0,B77+C77-D77))</f>
        <v>0</v>
      </c>
      <c r="F77" s="43" t="str">
        <f aca="false">IF(A77&gt;$B$12,"",IF(A77=1,$B$9,H76))</f>
        <v/>
      </c>
      <c r="G77" s="43" t="str">
        <f aca="false">IF(A77&gt;$B$12,"",$B$13*(1+$B$11)^(A77-1))</f>
        <v/>
      </c>
      <c r="H77" s="19" t="n">
        <f aca="false">IF(A77&gt;$B$12,0,IF(ABS(F77*(1+$B$10)-G77)&lt;0.005,0,F77*(1+$B$10)-G77))</f>
        <v>0</v>
      </c>
      <c r="I77" s="43" t="n">
        <f aca="false">IF(A77&gt;$B$7,I76,I76*(1+$B$6)+$B$8)</f>
        <v>32695.6526290079</v>
      </c>
    </row>
    <row r="78" customFormat="false" ht="15" hidden="false" customHeight="false" outlineLevel="0" collapsed="false">
      <c r="A78" s="13" t="n">
        <v>62</v>
      </c>
      <c r="B78" s="43" t="str">
        <f aca="false">IF(A78&gt;$B$7,"",IF(A78=1,$B$5,E77))</f>
        <v/>
      </c>
      <c r="C78" s="43" t="str">
        <f aca="false">IF(A78&gt;$B$7,"",B78*$B$6)</f>
        <v/>
      </c>
      <c r="D78" s="43" t="str">
        <f aca="false">IF(A78&gt;$B$7,"",$B$8)</f>
        <v/>
      </c>
      <c r="E78" s="19" t="n">
        <f aca="false">IF(A78&gt;$B$7,0,IF(ABS(B78+C78-D78)&lt;0.005,0,B78+C78-D78))</f>
        <v>0</v>
      </c>
      <c r="F78" s="43" t="str">
        <f aca="false">IF(A78&gt;$B$12,"",IF(A78=1,$B$9,H77))</f>
        <v/>
      </c>
      <c r="G78" s="43" t="str">
        <f aca="false">IF(A78&gt;$B$12,"",$B$13*(1+$B$11)^(A78-1))</f>
        <v/>
      </c>
      <c r="H78" s="19" t="n">
        <f aca="false">IF(A78&gt;$B$12,0,IF(ABS(F78*(1+$B$10)-G78)&lt;0.005,0,F78*(1+$B$10)-G78))</f>
        <v>0</v>
      </c>
      <c r="I78" s="43" t="n">
        <f aca="false">IF(A78&gt;$B$7,I77,I77*(1+$B$6)+$B$8)</f>
        <v>32695.6526290079</v>
      </c>
    </row>
    <row r="79" customFormat="false" ht="15" hidden="false" customHeight="false" outlineLevel="0" collapsed="false">
      <c r="A79" s="13" t="n">
        <v>63</v>
      </c>
      <c r="B79" s="43" t="str">
        <f aca="false">IF(A79&gt;$B$7,"",IF(A79=1,$B$5,E78))</f>
        <v/>
      </c>
      <c r="C79" s="43" t="str">
        <f aca="false">IF(A79&gt;$B$7,"",B79*$B$6)</f>
        <v/>
      </c>
      <c r="D79" s="43" t="str">
        <f aca="false">IF(A79&gt;$B$7,"",$B$8)</f>
        <v/>
      </c>
      <c r="E79" s="19" t="n">
        <f aca="false">IF(A79&gt;$B$7,0,IF(ABS(B79+C79-D79)&lt;0.005,0,B79+C79-D79))</f>
        <v>0</v>
      </c>
      <c r="F79" s="43" t="str">
        <f aca="false">IF(A79&gt;$B$12,"",IF(A79=1,$B$9,H78))</f>
        <v/>
      </c>
      <c r="G79" s="43" t="str">
        <f aca="false">IF(A79&gt;$B$12,"",$B$13*(1+$B$11)^(A79-1))</f>
        <v/>
      </c>
      <c r="H79" s="19" t="n">
        <f aca="false">IF(A79&gt;$B$12,0,IF(ABS(F79*(1+$B$10)-G79)&lt;0.005,0,F79*(1+$B$10)-G79))</f>
        <v>0</v>
      </c>
      <c r="I79" s="43" t="n">
        <f aca="false">IF(A79&gt;$B$7,I78,I78*(1+$B$6)+$B$8)</f>
        <v>32695.6526290079</v>
      </c>
    </row>
    <row r="80" customFormat="false" ht="15" hidden="false" customHeight="false" outlineLevel="0" collapsed="false">
      <c r="A80" s="13" t="n">
        <v>64</v>
      </c>
      <c r="B80" s="43" t="str">
        <f aca="false">IF(A80&gt;$B$7,"",IF(A80=1,$B$5,E79))</f>
        <v/>
      </c>
      <c r="C80" s="43" t="str">
        <f aca="false">IF(A80&gt;$B$7,"",B80*$B$6)</f>
        <v/>
      </c>
      <c r="D80" s="43" t="str">
        <f aca="false">IF(A80&gt;$B$7,"",$B$8)</f>
        <v/>
      </c>
      <c r="E80" s="19" t="n">
        <f aca="false">IF(A80&gt;$B$7,0,IF(ABS(B80+C80-D80)&lt;0.005,0,B80+C80-D80))</f>
        <v>0</v>
      </c>
      <c r="F80" s="43" t="str">
        <f aca="false">IF(A80&gt;$B$12,"",IF(A80=1,$B$9,H79))</f>
        <v/>
      </c>
      <c r="G80" s="43" t="str">
        <f aca="false">IF(A80&gt;$B$12,"",$B$13*(1+$B$11)^(A80-1))</f>
        <v/>
      </c>
      <c r="H80" s="19" t="n">
        <f aca="false">IF(A80&gt;$B$12,0,IF(ABS(F80*(1+$B$10)-G80)&lt;0.005,0,F80*(1+$B$10)-G80))</f>
        <v>0</v>
      </c>
      <c r="I80" s="43" t="n">
        <f aca="false">IF(A80&gt;$B$7,I79,I79*(1+$B$6)+$B$8)</f>
        <v>32695.6526290079</v>
      </c>
    </row>
    <row r="81" customFormat="false" ht="15" hidden="false" customHeight="false" outlineLevel="0" collapsed="false">
      <c r="A81" s="13" t="n">
        <v>65</v>
      </c>
      <c r="B81" s="43" t="str">
        <f aca="false">IF(A81&gt;$B$7,"",IF(A81=1,$B$5,E80))</f>
        <v/>
      </c>
      <c r="C81" s="43" t="str">
        <f aca="false">IF(A81&gt;$B$7,"",B81*$B$6)</f>
        <v/>
      </c>
      <c r="D81" s="43" t="str">
        <f aca="false">IF(A81&gt;$B$7,"",$B$8)</f>
        <v/>
      </c>
      <c r="E81" s="19" t="n">
        <f aca="false">IF(A81&gt;$B$7,0,IF(ABS(B81+C81-D81)&lt;0.005,0,B81+C81-D81))</f>
        <v>0</v>
      </c>
      <c r="F81" s="43" t="str">
        <f aca="false">IF(A81&gt;$B$12,"",IF(A81=1,$B$9,H80))</f>
        <v/>
      </c>
      <c r="G81" s="43" t="str">
        <f aca="false">IF(A81&gt;$B$12,"",$B$13*(1+$B$11)^(A81-1))</f>
        <v/>
      </c>
      <c r="H81" s="19" t="n">
        <f aca="false">IF(A81&gt;$B$12,0,IF(ABS(F81*(1+$B$10)-G81)&lt;0.005,0,F81*(1+$B$10)-G81))</f>
        <v>0</v>
      </c>
      <c r="I81" s="43" t="n">
        <f aca="false">IF(A81&gt;$B$7,I80,I80*(1+$B$6)+$B$8)</f>
        <v>32695.6526290079</v>
      </c>
    </row>
    <row r="82" customFormat="false" ht="15" hidden="false" customHeight="false" outlineLevel="0" collapsed="false">
      <c r="A82" s="13" t="n">
        <v>66</v>
      </c>
      <c r="B82" s="43" t="str">
        <f aca="false">IF(A82&gt;$B$7,"",IF(A82=1,$B$5,E81))</f>
        <v/>
      </c>
      <c r="C82" s="43" t="str">
        <f aca="false">IF(A82&gt;$B$7,"",B82*$B$6)</f>
        <v/>
      </c>
      <c r="D82" s="43" t="str">
        <f aca="false">IF(A82&gt;$B$7,"",$B$8)</f>
        <v/>
      </c>
      <c r="E82" s="19" t="n">
        <f aca="false">IF(A82&gt;$B$7,0,IF(ABS(B82+C82-D82)&lt;0.005,0,B82+C82-D82))</f>
        <v>0</v>
      </c>
      <c r="F82" s="43" t="str">
        <f aca="false">IF(A82&gt;$B$12,"",IF(A82=1,$B$9,H81))</f>
        <v/>
      </c>
      <c r="G82" s="43" t="str">
        <f aca="false">IF(A82&gt;$B$12,"",$B$13*(1+$B$11)^(A82-1))</f>
        <v/>
      </c>
      <c r="H82" s="19" t="n">
        <f aca="false">IF(A82&gt;$B$12,0,IF(ABS(F82*(1+$B$10)-G82)&lt;0.005,0,F82*(1+$B$10)-G82))</f>
        <v>0</v>
      </c>
      <c r="I82" s="43" t="n">
        <f aca="false">IF(A82&gt;$B$7,I81,I81*(1+$B$6)+$B$8)</f>
        <v>32695.6526290079</v>
      </c>
    </row>
    <row r="83" customFormat="false" ht="15" hidden="false" customHeight="false" outlineLevel="0" collapsed="false">
      <c r="A83" s="13" t="n">
        <v>67</v>
      </c>
      <c r="B83" s="43" t="str">
        <f aca="false">IF(A83&gt;$B$7,"",IF(A83=1,$B$5,E82))</f>
        <v/>
      </c>
      <c r="C83" s="43" t="str">
        <f aca="false">IF(A83&gt;$B$7,"",B83*$B$6)</f>
        <v/>
      </c>
      <c r="D83" s="43" t="str">
        <f aca="false">IF(A83&gt;$B$7,"",$B$8)</f>
        <v/>
      </c>
      <c r="E83" s="19" t="n">
        <f aca="false">IF(A83&gt;$B$7,0,IF(ABS(B83+C83-D83)&lt;0.005,0,B83+C83-D83))</f>
        <v>0</v>
      </c>
      <c r="F83" s="43" t="str">
        <f aca="false">IF(A83&gt;$B$12,"",IF(A83=1,$B$9,H82))</f>
        <v/>
      </c>
      <c r="G83" s="43" t="str">
        <f aca="false">IF(A83&gt;$B$12,"",$B$13*(1+$B$11)^(A83-1))</f>
        <v/>
      </c>
      <c r="H83" s="19" t="n">
        <f aca="false">IF(A83&gt;$B$12,0,IF(ABS(F83*(1+$B$10)-G83)&lt;0.005,0,F83*(1+$B$10)-G83))</f>
        <v>0</v>
      </c>
      <c r="I83" s="43" t="n">
        <f aca="false">IF(A83&gt;$B$7,I82,I82*(1+$B$6)+$B$8)</f>
        <v>32695.6526290079</v>
      </c>
    </row>
    <row r="84" customFormat="false" ht="15" hidden="false" customHeight="false" outlineLevel="0" collapsed="false">
      <c r="A84" s="13" t="n">
        <v>68</v>
      </c>
      <c r="B84" s="43" t="str">
        <f aca="false">IF(A84&gt;$B$7,"",IF(A84=1,$B$5,E83))</f>
        <v/>
      </c>
      <c r="C84" s="43" t="str">
        <f aca="false">IF(A84&gt;$B$7,"",B84*$B$6)</f>
        <v/>
      </c>
      <c r="D84" s="43" t="str">
        <f aca="false">IF(A84&gt;$B$7,"",$B$8)</f>
        <v/>
      </c>
      <c r="E84" s="19" t="n">
        <f aca="false">IF(A84&gt;$B$7,0,IF(ABS(B84+C84-D84)&lt;0.005,0,B84+C84-D84))</f>
        <v>0</v>
      </c>
      <c r="F84" s="43" t="str">
        <f aca="false">IF(A84&gt;$B$12,"",IF(A84=1,$B$9,H83))</f>
        <v/>
      </c>
      <c r="G84" s="43" t="str">
        <f aca="false">IF(A84&gt;$B$12,"",$B$13*(1+$B$11)^(A84-1))</f>
        <v/>
      </c>
      <c r="H84" s="19" t="n">
        <f aca="false">IF(A84&gt;$B$12,0,IF(ABS(F84*(1+$B$10)-G84)&lt;0.005,0,F84*(1+$B$10)-G84))</f>
        <v>0</v>
      </c>
      <c r="I84" s="43" t="n">
        <f aca="false">IF(A84&gt;$B$7,I83,I83*(1+$B$6)+$B$8)</f>
        <v>32695.6526290079</v>
      </c>
    </row>
    <row r="85" customFormat="false" ht="15" hidden="false" customHeight="false" outlineLevel="0" collapsed="false">
      <c r="A85" s="13" t="n">
        <v>69</v>
      </c>
      <c r="B85" s="43" t="str">
        <f aca="false">IF(A85&gt;$B$7,"",IF(A85=1,$B$5,E84))</f>
        <v/>
      </c>
      <c r="C85" s="43" t="str">
        <f aca="false">IF(A85&gt;$B$7,"",B85*$B$6)</f>
        <v/>
      </c>
      <c r="D85" s="43" t="str">
        <f aca="false">IF(A85&gt;$B$7,"",$B$8)</f>
        <v/>
      </c>
      <c r="E85" s="19" t="n">
        <f aca="false">IF(A85&gt;$B$7,0,IF(ABS(B85+C85-D85)&lt;0.005,0,B85+C85-D85))</f>
        <v>0</v>
      </c>
      <c r="F85" s="43" t="str">
        <f aca="false">IF(A85&gt;$B$12,"",IF(A85=1,$B$9,H84))</f>
        <v/>
      </c>
      <c r="G85" s="43" t="str">
        <f aca="false">IF(A85&gt;$B$12,"",$B$13*(1+$B$11)^(A85-1))</f>
        <v/>
      </c>
      <c r="H85" s="19" t="n">
        <f aca="false">IF(A85&gt;$B$12,0,IF(ABS(F85*(1+$B$10)-G85)&lt;0.005,0,F85*(1+$B$10)-G85))</f>
        <v>0</v>
      </c>
      <c r="I85" s="43" t="n">
        <f aca="false">IF(A85&gt;$B$7,I84,I84*(1+$B$6)+$B$8)</f>
        <v>32695.6526290079</v>
      </c>
    </row>
    <row r="86" customFormat="false" ht="15" hidden="false" customHeight="false" outlineLevel="0" collapsed="false">
      <c r="A86" s="13" t="n">
        <v>70</v>
      </c>
      <c r="B86" s="43" t="str">
        <f aca="false">IF(A86&gt;$B$7,"",IF(A86=1,$B$5,E85))</f>
        <v/>
      </c>
      <c r="C86" s="43" t="str">
        <f aca="false">IF(A86&gt;$B$7,"",B86*$B$6)</f>
        <v/>
      </c>
      <c r="D86" s="43" t="str">
        <f aca="false">IF(A86&gt;$B$7,"",$B$8)</f>
        <v/>
      </c>
      <c r="E86" s="19" t="n">
        <f aca="false">IF(A86&gt;$B$7,0,IF(ABS(B86+C86-D86)&lt;0.005,0,B86+C86-D86))</f>
        <v>0</v>
      </c>
      <c r="F86" s="43" t="str">
        <f aca="false">IF(A86&gt;$B$12,"",IF(A86=1,$B$9,H85))</f>
        <v/>
      </c>
      <c r="G86" s="43" t="str">
        <f aca="false">IF(A86&gt;$B$12,"",$B$13*(1+$B$11)^(A86-1))</f>
        <v/>
      </c>
      <c r="H86" s="19" t="n">
        <f aca="false">IF(A86&gt;$B$12,0,IF(ABS(F86*(1+$B$10)-G86)&lt;0.005,0,F86*(1+$B$10)-G86))</f>
        <v>0</v>
      </c>
      <c r="I86" s="43" t="n">
        <f aca="false">IF(A86&gt;$B$7,I85,I85*(1+$B$6)+$B$8)</f>
        <v>32695.6526290079</v>
      </c>
    </row>
    <row r="87" customFormat="false" ht="15" hidden="false" customHeight="false" outlineLevel="0" collapsed="false">
      <c r="A87" s="13" t="n">
        <v>71</v>
      </c>
      <c r="B87" s="43" t="str">
        <f aca="false">IF(A87&gt;$B$7,"",IF(A87=1,$B$5,E86))</f>
        <v/>
      </c>
      <c r="C87" s="43" t="str">
        <f aca="false">IF(A87&gt;$B$7,"",B87*$B$6)</f>
        <v/>
      </c>
      <c r="D87" s="43" t="str">
        <f aca="false">IF(A87&gt;$B$7,"",$B$8)</f>
        <v/>
      </c>
      <c r="E87" s="19" t="n">
        <f aca="false">IF(A87&gt;$B$7,0,IF(ABS(B87+C87-D87)&lt;0.005,0,B87+C87-D87))</f>
        <v>0</v>
      </c>
      <c r="F87" s="43" t="str">
        <f aca="false">IF(A87&gt;$B$12,"",IF(A87=1,$B$9,H86))</f>
        <v/>
      </c>
      <c r="G87" s="43" t="str">
        <f aca="false">IF(A87&gt;$B$12,"",$B$13*(1+$B$11)^(A87-1))</f>
        <v/>
      </c>
      <c r="H87" s="19" t="n">
        <f aca="false">IF(A87&gt;$B$12,0,IF(ABS(F87*(1+$B$10)-G87)&lt;0.005,0,F87*(1+$B$10)-G87))</f>
        <v>0</v>
      </c>
      <c r="I87" s="43" t="n">
        <f aca="false">IF(A87&gt;$B$7,I86,I86*(1+$B$6)+$B$8)</f>
        <v>32695.6526290079</v>
      </c>
    </row>
    <row r="88" customFormat="false" ht="15" hidden="false" customHeight="false" outlineLevel="0" collapsed="false">
      <c r="A88" s="13" t="n">
        <v>72</v>
      </c>
      <c r="B88" s="43" t="str">
        <f aca="false">IF(A88&gt;$B$7,"",IF(A88=1,$B$5,E87))</f>
        <v/>
      </c>
      <c r="C88" s="43" t="str">
        <f aca="false">IF(A88&gt;$B$7,"",B88*$B$6)</f>
        <v/>
      </c>
      <c r="D88" s="43" t="str">
        <f aca="false">IF(A88&gt;$B$7,"",$B$8)</f>
        <v/>
      </c>
      <c r="E88" s="19" t="n">
        <f aca="false">IF(A88&gt;$B$7,0,IF(ABS(B88+C88-D88)&lt;0.005,0,B88+C88-D88))</f>
        <v>0</v>
      </c>
      <c r="F88" s="43" t="str">
        <f aca="false">IF(A88&gt;$B$12,"",IF(A88=1,$B$9,H87))</f>
        <v/>
      </c>
      <c r="G88" s="43" t="str">
        <f aca="false">IF(A88&gt;$B$12,"",$B$13*(1+$B$11)^(A88-1))</f>
        <v/>
      </c>
      <c r="H88" s="19" t="n">
        <f aca="false">IF(A88&gt;$B$12,0,IF(ABS(F88*(1+$B$10)-G88)&lt;0.005,0,F88*(1+$B$10)-G88))</f>
        <v>0</v>
      </c>
      <c r="I88" s="43" t="n">
        <f aca="false">IF(A88&gt;$B$7,I87,I87*(1+$B$6)+$B$8)</f>
        <v>32695.6526290079</v>
      </c>
    </row>
    <row r="89" customFormat="false" ht="15" hidden="false" customHeight="false" outlineLevel="0" collapsed="false">
      <c r="A89" s="13" t="n">
        <v>73</v>
      </c>
      <c r="B89" s="43" t="str">
        <f aca="false">IF(A89&gt;$B$7,"",IF(A89=1,$B$5,E88))</f>
        <v/>
      </c>
      <c r="C89" s="43" t="str">
        <f aca="false">IF(A89&gt;$B$7,"",B89*$B$6)</f>
        <v/>
      </c>
      <c r="D89" s="43" t="str">
        <f aca="false">IF(A89&gt;$B$7,"",$B$8)</f>
        <v/>
      </c>
      <c r="E89" s="19" t="n">
        <f aca="false">IF(A89&gt;$B$7,0,IF(ABS(B89+C89-D89)&lt;0.005,0,B89+C89-D89))</f>
        <v>0</v>
      </c>
      <c r="F89" s="43" t="str">
        <f aca="false">IF(A89&gt;$B$12,"",IF(A89=1,$B$9,H88))</f>
        <v/>
      </c>
      <c r="G89" s="43" t="str">
        <f aca="false">IF(A89&gt;$B$12,"",$B$13*(1+$B$11)^(A89-1))</f>
        <v/>
      </c>
      <c r="H89" s="19" t="n">
        <f aca="false">IF(A89&gt;$B$12,0,IF(ABS(F89*(1+$B$10)-G89)&lt;0.005,0,F89*(1+$B$10)-G89))</f>
        <v>0</v>
      </c>
      <c r="I89" s="43" t="n">
        <f aca="false">IF(A89&gt;$B$7,I88,I88*(1+$B$6)+$B$8)</f>
        <v>32695.6526290079</v>
      </c>
    </row>
    <row r="90" customFormat="false" ht="15" hidden="false" customHeight="false" outlineLevel="0" collapsed="false">
      <c r="A90" s="13" t="n">
        <v>74</v>
      </c>
      <c r="B90" s="43" t="str">
        <f aca="false">IF(A90&gt;$B$7,"",IF(A90=1,$B$5,E89))</f>
        <v/>
      </c>
      <c r="C90" s="43" t="str">
        <f aca="false">IF(A90&gt;$B$7,"",B90*$B$6)</f>
        <v/>
      </c>
      <c r="D90" s="43" t="str">
        <f aca="false">IF(A90&gt;$B$7,"",$B$8)</f>
        <v/>
      </c>
      <c r="E90" s="19" t="n">
        <f aca="false">IF(A90&gt;$B$7,0,IF(ABS(B90+C90-D90)&lt;0.005,0,B90+C90-D90))</f>
        <v>0</v>
      </c>
      <c r="F90" s="43" t="str">
        <f aca="false">IF(A90&gt;$B$12,"",IF(A90=1,$B$9,H89))</f>
        <v/>
      </c>
      <c r="G90" s="43" t="str">
        <f aca="false">IF(A90&gt;$B$12,"",$B$13*(1+$B$11)^(A90-1))</f>
        <v/>
      </c>
      <c r="H90" s="19" t="n">
        <f aca="false">IF(A90&gt;$B$12,0,IF(ABS(F90*(1+$B$10)-G90)&lt;0.005,0,F90*(1+$B$10)-G90))</f>
        <v>0</v>
      </c>
      <c r="I90" s="43" t="n">
        <f aca="false">IF(A90&gt;$B$7,I89,I89*(1+$B$6)+$B$8)</f>
        <v>32695.6526290079</v>
      </c>
    </row>
    <row r="91" customFormat="false" ht="15" hidden="false" customHeight="false" outlineLevel="0" collapsed="false">
      <c r="A91" s="13" t="n">
        <v>75</v>
      </c>
      <c r="B91" s="43" t="str">
        <f aca="false">IF(A91&gt;$B$7,"",IF(A91=1,$B$5,E90))</f>
        <v/>
      </c>
      <c r="C91" s="43" t="str">
        <f aca="false">IF(A91&gt;$B$7,"",B91*$B$6)</f>
        <v/>
      </c>
      <c r="D91" s="43" t="str">
        <f aca="false">IF(A91&gt;$B$7,"",$B$8)</f>
        <v/>
      </c>
      <c r="E91" s="19" t="n">
        <f aca="false">IF(A91&gt;$B$7,0,IF(ABS(B91+C91-D91)&lt;0.005,0,B91+C91-D91))</f>
        <v>0</v>
      </c>
      <c r="F91" s="43" t="str">
        <f aca="false">IF(A91&gt;$B$12,"",IF(A91=1,$B$9,H90))</f>
        <v/>
      </c>
      <c r="G91" s="43" t="str">
        <f aca="false">IF(A91&gt;$B$12,"",$B$13*(1+$B$11)^(A91-1))</f>
        <v/>
      </c>
      <c r="H91" s="19" t="n">
        <f aca="false">IF(A91&gt;$B$12,0,IF(ABS(F91*(1+$B$10)-G91)&lt;0.005,0,F91*(1+$B$10)-G91))</f>
        <v>0</v>
      </c>
      <c r="I91" s="43" t="n">
        <f aca="false">IF(A91&gt;$B$7,I90,I90*(1+$B$6)+$B$8)</f>
        <v>32695.6526290079</v>
      </c>
    </row>
    <row r="92" customFormat="false" ht="15" hidden="false" customHeight="false" outlineLevel="0" collapsed="false">
      <c r="A92" s="13" t="n">
        <v>76</v>
      </c>
      <c r="B92" s="43" t="str">
        <f aca="false">IF(A92&gt;$B$7,"",IF(A92=1,$B$5,E91))</f>
        <v/>
      </c>
      <c r="C92" s="43" t="str">
        <f aca="false">IF(A92&gt;$B$7,"",B92*$B$6)</f>
        <v/>
      </c>
      <c r="D92" s="43" t="str">
        <f aca="false">IF(A92&gt;$B$7,"",$B$8)</f>
        <v/>
      </c>
      <c r="E92" s="19" t="n">
        <f aca="false">IF(A92&gt;$B$7,0,IF(ABS(B92+C92-D92)&lt;0.005,0,B92+C92-D92))</f>
        <v>0</v>
      </c>
      <c r="F92" s="43" t="str">
        <f aca="false">IF(A92&gt;$B$12,"",IF(A92=1,$B$9,H91))</f>
        <v/>
      </c>
      <c r="G92" s="43" t="str">
        <f aca="false">IF(A92&gt;$B$12,"",$B$13*(1+$B$11)^(A92-1))</f>
        <v/>
      </c>
      <c r="H92" s="19" t="n">
        <f aca="false">IF(A92&gt;$B$12,0,IF(ABS(F92*(1+$B$10)-G92)&lt;0.005,0,F92*(1+$B$10)-G92))</f>
        <v>0</v>
      </c>
      <c r="I92" s="43" t="n">
        <f aca="false">IF(A92&gt;$B$7,I91,I91*(1+$B$6)+$B$8)</f>
        <v>32695.6526290079</v>
      </c>
    </row>
    <row r="93" customFormat="false" ht="15" hidden="false" customHeight="false" outlineLevel="0" collapsed="false">
      <c r="A93" s="13" t="n">
        <v>77</v>
      </c>
      <c r="B93" s="43" t="str">
        <f aca="false">IF(A93&gt;$B$7,"",IF(A93=1,$B$5,E92))</f>
        <v/>
      </c>
      <c r="C93" s="43" t="str">
        <f aca="false">IF(A93&gt;$B$7,"",B93*$B$6)</f>
        <v/>
      </c>
      <c r="D93" s="43" t="str">
        <f aca="false">IF(A93&gt;$B$7,"",$B$8)</f>
        <v/>
      </c>
      <c r="E93" s="19" t="n">
        <f aca="false">IF(A93&gt;$B$7,0,IF(ABS(B93+C93-D93)&lt;0.005,0,B93+C93-D93))</f>
        <v>0</v>
      </c>
      <c r="F93" s="43" t="str">
        <f aca="false">IF(A93&gt;$B$12,"",IF(A93=1,$B$9,H92))</f>
        <v/>
      </c>
      <c r="G93" s="43" t="str">
        <f aca="false">IF(A93&gt;$B$12,"",$B$13*(1+$B$11)^(A93-1))</f>
        <v/>
      </c>
      <c r="H93" s="19" t="n">
        <f aca="false">IF(A93&gt;$B$12,0,IF(ABS(F93*(1+$B$10)-G93)&lt;0.005,0,F93*(1+$B$10)-G93))</f>
        <v>0</v>
      </c>
      <c r="I93" s="43" t="n">
        <f aca="false">IF(A93&gt;$B$7,I92,I92*(1+$B$6)+$B$8)</f>
        <v>32695.6526290079</v>
      </c>
    </row>
    <row r="94" customFormat="false" ht="15" hidden="false" customHeight="false" outlineLevel="0" collapsed="false">
      <c r="A94" s="13" t="n">
        <v>78</v>
      </c>
      <c r="B94" s="43" t="str">
        <f aca="false">IF(A94&gt;$B$7,"",IF(A94=1,$B$5,E93))</f>
        <v/>
      </c>
      <c r="C94" s="43" t="str">
        <f aca="false">IF(A94&gt;$B$7,"",B94*$B$6)</f>
        <v/>
      </c>
      <c r="D94" s="43" t="str">
        <f aca="false">IF(A94&gt;$B$7,"",$B$8)</f>
        <v/>
      </c>
      <c r="E94" s="19" t="n">
        <f aca="false">IF(A94&gt;$B$7,0,IF(ABS(B94+C94-D94)&lt;0.005,0,B94+C94-D94))</f>
        <v>0</v>
      </c>
      <c r="F94" s="43" t="str">
        <f aca="false">IF(A94&gt;$B$12,"",IF(A94=1,$B$9,H93))</f>
        <v/>
      </c>
      <c r="G94" s="43" t="str">
        <f aca="false">IF(A94&gt;$B$12,"",$B$13*(1+$B$11)^(A94-1))</f>
        <v/>
      </c>
      <c r="H94" s="19" t="n">
        <f aca="false">IF(A94&gt;$B$12,0,IF(ABS(F94*(1+$B$10)-G94)&lt;0.005,0,F94*(1+$B$10)-G94))</f>
        <v>0</v>
      </c>
      <c r="I94" s="43" t="n">
        <f aca="false">IF(A94&gt;$B$7,I93,I93*(1+$B$6)+$B$8)</f>
        <v>32695.6526290079</v>
      </c>
    </row>
    <row r="95" customFormat="false" ht="15" hidden="false" customHeight="false" outlineLevel="0" collapsed="false">
      <c r="A95" s="13" t="n">
        <v>79</v>
      </c>
      <c r="B95" s="43" t="str">
        <f aca="false">IF(A95&gt;$B$7,"",IF(A95=1,$B$5,E94))</f>
        <v/>
      </c>
      <c r="C95" s="43" t="str">
        <f aca="false">IF(A95&gt;$B$7,"",B95*$B$6)</f>
        <v/>
      </c>
      <c r="D95" s="43" t="str">
        <f aca="false">IF(A95&gt;$B$7,"",$B$8)</f>
        <v/>
      </c>
      <c r="E95" s="19" t="n">
        <f aca="false">IF(A95&gt;$B$7,0,IF(ABS(B95+C95-D95)&lt;0.005,0,B95+C95-D95))</f>
        <v>0</v>
      </c>
      <c r="F95" s="43" t="str">
        <f aca="false">IF(A95&gt;$B$12,"",IF(A95=1,$B$9,H94))</f>
        <v/>
      </c>
      <c r="G95" s="43" t="str">
        <f aca="false">IF(A95&gt;$B$12,"",$B$13*(1+$B$11)^(A95-1))</f>
        <v/>
      </c>
      <c r="H95" s="19" t="n">
        <f aca="false">IF(A95&gt;$B$12,0,IF(ABS(F95*(1+$B$10)-G95)&lt;0.005,0,F95*(1+$B$10)-G95))</f>
        <v>0</v>
      </c>
      <c r="I95" s="43" t="n">
        <f aca="false">IF(A95&gt;$B$7,I94,I94*(1+$B$6)+$B$8)</f>
        <v>32695.6526290079</v>
      </c>
    </row>
    <row r="96" customFormat="false" ht="15" hidden="false" customHeight="false" outlineLevel="0" collapsed="false">
      <c r="A96" s="13" t="n">
        <v>80</v>
      </c>
      <c r="B96" s="43" t="str">
        <f aca="false">IF(A96&gt;$B$7,"",IF(A96=1,$B$5,E95))</f>
        <v/>
      </c>
      <c r="C96" s="43" t="str">
        <f aca="false">IF(A96&gt;$B$7,"",B96*$B$6)</f>
        <v/>
      </c>
      <c r="D96" s="43" t="str">
        <f aca="false">IF(A96&gt;$B$7,"",$B$8)</f>
        <v/>
      </c>
      <c r="E96" s="19" t="n">
        <f aca="false">IF(A96&gt;$B$7,0,IF(ABS(B96+C96-D96)&lt;0.005,0,B96+C96-D96))</f>
        <v>0</v>
      </c>
      <c r="F96" s="43" t="str">
        <f aca="false">IF(A96&gt;$B$12,"",IF(A96=1,$B$9,H95))</f>
        <v/>
      </c>
      <c r="G96" s="43" t="str">
        <f aca="false">IF(A96&gt;$B$12,"",$B$13*(1+$B$11)^(A96-1))</f>
        <v/>
      </c>
      <c r="H96" s="19" t="n">
        <f aca="false">IF(A96&gt;$B$12,0,IF(ABS(F96*(1+$B$10)-G96)&lt;0.005,0,F96*(1+$B$10)-G96))</f>
        <v>0</v>
      </c>
      <c r="I96" s="43" t="n">
        <f aca="false">IF(A96&gt;$B$7,I95,I95*(1+$B$6)+$B$8)</f>
        <v>32695.6526290079</v>
      </c>
    </row>
    <row r="97" customFormat="false" ht="15" hidden="false" customHeight="false" outlineLevel="0" collapsed="false">
      <c r="A97" s="13" t="n">
        <v>81</v>
      </c>
      <c r="B97" s="43" t="str">
        <f aca="false">IF(A97&gt;$B$7,"",IF(A97=1,$B$5,E96))</f>
        <v/>
      </c>
      <c r="C97" s="43" t="str">
        <f aca="false">IF(A97&gt;$B$7,"",B97*$B$6)</f>
        <v/>
      </c>
      <c r="D97" s="43" t="str">
        <f aca="false">IF(A97&gt;$B$7,"",$B$8)</f>
        <v/>
      </c>
      <c r="E97" s="19" t="n">
        <f aca="false">IF(A97&gt;$B$7,0,IF(ABS(B97+C97-D97)&lt;0.005,0,B97+C97-D97))</f>
        <v>0</v>
      </c>
      <c r="F97" s="43" t="str">
        <f aca="false">IF(A97&gt;$B$12,"",IF(A97=1,$B$9,H96))</f>
        <v/>
      </c>
      <c r="G97" s="43" t="str">
        <f aca="false">IF(A97&gt;$B$12,"",$B$13*(1+$B$11)^(A97-1))</f>
        <v/>
      </c>
      <c r="H97" s="19" t="n">
        <f aca="false">IF(A97&gt;$B$12,0,IF(ABS(F97*(1+$B$10)-G97)&lt;0.005,0,F97*(1+$B$10)-G97))</f>
        <v>0</v>
      </c>
      <c r="I97" s="43" t="n">
        <f aca="false">IF(A97&gt;$B$7,I96,I96*(1+$B$6)+$B$8)</f>
        <v>32695.6526290079</v>
      </c>
    </row>
    <row r="98" customFormat="false" ht="15" hidden="false" customHeight="false" outlineLevel="0" collapsed="false">
      <c r="A98" s="13" t="n">
        <v>82</v>
      </c>
      <c r="B98" s="43" t="str">
        <f aca="false">IF(A98&gt;$B$7,"",IF(A98=1,$B$5,E97))</f>
        <v/>
      </c>
      <c r="C98" s="43" t="str">
        <f aca="false">IF(A98&gt;$B$7,"",B98*$B$6)</f>
        <v/>
      </c>
      <c r="D98" s="43" t="str">
        <f aca="false">IF(A98&gt;$B$7,"",$B$8)</f>
        <v/>
      </c>
      <c r="E98" s="19" t="n">
        <f aca="false">IF(A98&gt;$B$7,0,IF(ABS(B98+C98-D98)&lt;0.005,0,B98+C98-D98))</f>
        <v>0</v>
      </c>
      <c r="F98" s="43" t="str">
        <f aca="false">IF(A98&gt;$B$12,"",IF(A98=1,$B$9,H97))</f>
        <v/>
      </c>
      <c r="G98" s="43" t="str">
        <f aca="false">IF(A98&gt;$B$12,"",$B$13*(1+$B$11)^(A98-1))</f>
        <v/>
      </c>
      <c r="H98" s="19" t="n">
        <f aca="false">IF(A98&gt;$B$12,0,IF(ABS(F98*(1+$B$10)-G98)&lt;0.005,0,F98*(1+$B$10)-G98))</f>
        <v>0</v>
      </c>
      <c r="I98" s="43" t="n">
        <f aca="false">IF(A98&gt;$B$7,I97,I97*(1+$B$6)+$B$8)</f>
        <v>32695.6526290079</v>
      </c>
    </row>
    <row r="99" customFormat="false" ht="15" hidden="false" customHeight="false" outlineLevel="0" collapsed="false">
      <c r="A99" s="13" t="n">
        <v>83</v>
      </c>
      <c r="B99" s="43" t="str">
        <f aca="false">IF(A99&gt;$B$7,"",IF(A99=1,$B$5,E98))</f>
        <v/>
      </c>
      <c r="C99" s="43" t="str">
        <f aca="false">IF(A99&gt;$B$7,"",B99*$B$6)</f>
        <v/>
      </c>
      <c r="D99" s="43" t="str">
        <f aca="false">IF(A99&gt;$B$7,"",$B$8)</f>
        <v/>
      </c>
      <c r="E99" s="19" t="n">
        <f aca="false">IF(A99&gt;$B$7,0,IF(ABS(B99+C99-D99)&lt;0.005,0,B99+C99-D99))</f>
        <v>0</v>
      </c>
      <c r="F99" s="43" t="str">
        <f aca="false">IF(A99&gt;$B$12,"",IF(A99=1,$B$9,H98))</f>
        <v/>
      </c>
      <c r="G99" s="43" t="str">
        <f aca="false">IF(A99&gt;$B$12,"",$B$13*(1+$B$11)^(A99-1))</f>
        <v/>
      </c>
      <c r="H99" s="19" t="n">
        <f aca="false">IF(A99&gt;$B$12,0,IF(ABS(F99*(1+$B$10)-G99)&lt;0.005,0,F99*(1+$B$10)-G99))</f>
        <v>0</v>
      </c>
      <c r="I99" s="43" t="n">
        <f aca="false">IF(A99&gt;$B$7,I98,I98*(1+$B$6)+$B$8)</f>
        <v>32695.6526290079</v>
      </c>
    </row>
    <row r="100" customFormat="false" ht="15" hidden="false" customHeight="false" outlineLevel="0" collapsed="false">
      <c r="A100" s="13" t="n">
        <v>84</v>
      </c>
      <c r="B100" s="43" t="str">
        <f aca="false">IF(A100&gt;$B$7,"",IF(A100=1,$B$5,E99))</f>
        <v/>
      </c>
      <c r="C100" s="43" t="str">
        <f aca="false">IF(A100&gt;$B$7,"",B100*$B$6)</f>
        <v/>
      </c>
      <c r="D100" s="43" t="str">
        <f aca="false">IF(A100&gt;$B$7,"",$B$8)</f>
        <v/>
      </c>
      <c r="E100" s="19" t="n">
        <f aca="false">IF(A100&gt;$B$7,0,IF(ABS(B100+C100-D100)&lt;0.005,0,B100+C100-D100))</f>
        <v>0</v>
      </c>
      <c r="F100" s="43" t="str">
        <f aca="false">IF(A100&gt;$B$12,"",IF(A100=1,$B$9,H99))</f>
        <v/>
      </c>
      <c r="G100" s="43" t="str">
        <f aca="false">IF(A100&gt;$B$12,"",$B$13*(1+$B$11)^(A100-1))</f>
        <v/>
      </c>
      <c r="H100" s="19" t="n">
        <f aca="false">IF(A100&gt;$B$12,0,IF(ABS(F100*(1+$B$10)-G100)&lt;0.005,0,F100*(1+$B$10)-G100))</f>
        <v>0</v>
      </c>
      <c r="I100" s="43" t="n">
        <f aca="false">IF(A100&gt;$B$7,I99,I99*(1+$B$6)+$B$8)</f>
        <v>32695.6526290079</v>
      </c>
    </row>
    <row r="101" customFormat="false" ht="15" hidden="false" customHeight="false" outlineLevel="0" collapsed="false">
      <c r="A101" s="13" t="n">
        <v>85</v>
      </c>
      <c r="B101" s="43" t="str">
        <f aca="false">IF(A101&gt;$B$7,"",IF(A101=1,$B$5,E100))</f>
        <v/>
      </c>
      <c r="C101" s="43" t="str">
        <f aca="false">IF(A101&gt;$B$7,"",B101*$B$6)</f>
        <v/>
      </c>
      <c r="D101" s="43" t="str">
        <f aca="false">IF(A101&gt;$B$7,"",$B$8)</f>
        <v/>
      </c>
      <c r="E101" s="19" t="n">
        <f aca="false">IF(A101&gt;$B$7,0,IF(ABS(B101+C101-D101)&lt;0.005,0,B101+C101-D101))</f>
        <v>0</v>
      </c>
      <c r="F101" s="43" t="str">
        <f aca="false">IF(A101&gt;$B$12,"",IF(A101=1,$B$9,H100))</f>
        <v/>
      </c>
      <c r="G101" s="43" t="str">
        <f aca="false">IF(A101&gt;$B$12,"",$B$13*(1+$B$11)^(A101-1))</f>
        <v/>
      </c>
      <c r="H101" s="19" t="n">
        <f aca="false">IF(A101&gt;$B$12,0,IF(ABS(F101*(1+$B$10)-G101)&lt;0.005,0,F101*(1+$B$10)-G101))</f>
        <v>0</v>
      </c>
      <c r="I101" s="43" t="n">
        <f aca="false">IF(A101&gt;$B$7,I100,I100*(1+$B$6)+$B$8)</f>
        <v>32695.6526290079</v>
      </c>
    </row>
    <row r="102" customFormat="false" ht="15" hidden="false" customHeight="false" outlineLevel="0" collapsed="false">
      <c r="A102" s="13" t="n">
        <v>86</v>
      </c>
      <c r="B102" s="43" t="str">
        <f aca="false">IF(A102&gt;$B$7,"",IF(A102=1,$B$5,E101))</f>
        <v/>
      </c>
      <c r="C102" s="43" t="str">
        <f aca="false">IF(A102&gt;$B$7,"",B102*$B$6)</f>
        <v/>
      </c>
      <c r="D102" s="43" t="str">
        <f aca="false">IF(A102&gt;$B$7,"",$B$8)</f>
        <v/>
      </c>
      <c r="E102" s="19" t="n">
        <f aca="false">IF(A102&gt;$B$7,0,IF(ABS(B102+C102-D102)&lt;0.005,0,B102+C102-D102))</f>
        <v>0</v>
      </c>
      <c r="F102" s="43" t="str">
        <f aca="false">IF(A102&gt;$B$12,"",IF(A102=1,$B$9,H101))</f>
        <v/>
      </c>
      <c r="G102" s="43" t="str">
        <f aca="false">IF(A102&gt;$B$12,"",$B$13*(1+$B$11)^(A102-1))</f>
        <v/>
      </c>
      <c r="H102" s="19" t="n">
        <f aca="false">IF(A102&gt;$B$12,0,IF(ABS(F102*(1+$B$10)-G102)&lt;0.005,0,F102*(1+$B$10)-G102))</f>
        <v>0</v>
      </c>
      <c r="I102" s="43" t="n">
        <f aca="false">IF(A102&gt;$B$7,I101,I101*(1+$B$6)+$B$8)</f>
        <v>32695.6526290079</v>
      </c>
    </row>
    <row r="103" customFormat="false" ht="15" hidden="false" customHeight="false" outlineLevel="0" collapsed="false">
      <c r="A103" s="13" t="n">
        <v>87</v>
      </c>
      <c r="B103" s="43" t="str">
        <f aca="false">IF(A103&gt;$B$7,"",IF(A103=1,$B$5,E102))</f>
        <v/>
      </c>
      <c r="C103" s="43" t="str">
        <f aca="false">IF(A103&gt;$B$7,"",B103*$B$6)</f>
        <v/>
      </c>
      <c r="D103" s="43" t="str">
        <f aca="false">IF(A103&gt;$B$7,"",$B$8)</f>
        <v/>
      </c>
      <c r="E103" s="19" t="n">
        <f aca="false">IF(A103&gt;$B$7,0,IF(ABS(B103+C103-D103)&lt;0.005,0,B103+C103-D103))</f>
        <v>0</v>
      </c>
      <c r="F103" s="43" t="str">
        <f aca="false">IF(A103&gt;$B$12,"",IF(A103=1,$B$9,H102))</f>
        <v/>
      </c>
      <c r="G103" s="43" t="str">
        <f aca="false">IF(A103&gt;$B$12,"",$B$13*(1+$B$11)^(A103-1))</f>
        <v/>
      </c>
      <c r="H103" s="19" t="n">
        <f aca="false">IF(A103&gt;$B$12,0,IF(ABS(F103*(1+$B$10)-G103)&lt;0.005,0,F103*(1+$B$10)-G103))</f>
        <v>0</v>
      </c>
      <c r="I103" s="43" t="n">
        <f aca="false">IF(A103&gt;$B$7,I102,I102*(1+$B$6)+$B$8)</f>
        <v>32695.6526290079</v>
      </c>
    </row>
    <row r="104" customFormat="false" ht="15" hidden="false" customHeight="false" outlineLevel="0" collapsed="false">
      <c r="A104" s="13" t="n">
        <v>88</v>
      </c>
      <c r="B104" s="43" t="str">
        <f aca="false">IF(A104&gt;$B$7,"",IF(A104=1,$B$5,E103))</f>
        <v/>
      </c>
      <c r="C104" s="43" t="str">
        <f aca="false">IF(A104&gt;$B$7,"",B104*$B$6)</f>
        <v/>
      </c>
      <c r="D104" s="43" t="str">
        <f aca="false">IF(A104&gt;$B$7,"",$B$8)</f>
        <v/>
      </c>
      <c r="E104" s="19" t="n">
        <f aca="false">IF(A104&gt;$B$7,0,IF(ABS(B104+C104-D104)&lt;0.005,0,B104+C104-D104))</f>
        <v>0</v>
      </c>
      <c r="F104" s="43" t="str">
        <f aca="false">IF(A104&gt;$B$12,"",IF(A104=1,$B$9,H103))</f>
        <v/>
      </c>
      <c r="G104" s="43" t="str">
        <f aca="false">IF(A104&gt;$B$12,"",$B$13*(1+$B$11)^(A104-1))</f>
        <v/>
      </c>
      <c r="H104" s="19" t="n">
        <f aca="false">IF(A104&gt;$B$12,0,IF(ABS(F104*(1+$B$10)-G104)&lt;0.005,0,F104*(1+$B$10)-G104))</f>
        <v>0</v>
      </c>
      <c r="I104" s="43" t="n">
        <f aca="false">IF(A104&gt;$B$7,I103,I103*(1+$B$6)+$B$8)</f>
        <v>32695.6526290079</v>
      </c>
    </row>
    <row r="105" customFormat="false" ht="15" hidden="false" customHeight="false" outlineLevel="0" collapsed="false">
      <c r="A105" s="13" t="n">
        <v>89</v>
      </c>
      <c r="B105" s="43" t="str">
        <f aca="false">IF(A105&gt;$B$7,"",IF(A105=1,$B$5,E104))</f>
        <v/>
      </c>
      <c r="C105" s="43" t="str">
        <f aca="false">IF(A105&gt;$B$7,"",B105*$B$6)</f>
        <v/>
      </c>
      <c r="D105" s="43" t="str">
        <f aca="false">IF(A105&gt;$B$7,"",$B$8)</f>
        <v/>
      </c>
      <c r="E105" s="19" t="n">
        <f aca="false">IF(A105&gt;$B$7,0,IF(ABS(B105+C105-D105)&lt;0.005,0,B105+C105-D105))</f>
        <v>0</v>
      </c>
      <c r="F105" s="43" t="str">
        <f aca="false">IF(A105&gt;$B$12,"",IF(A105=1,$B$9,H104))</f>
        <v/>
      </c>
      <c r="G105" s="43" t="str">
        <f aca="false">IF(A105&gt;$B$12,"",$B$13*(1+$B$11)^(A105-1))</f>
        <v/>
      </c>
      <c r="H105" s="19" t="n">
        <f aca="false">IF(A105&gt;$B$12,0,IF(ABS(F105*(1+$B$10)-G105)&lt;0.005,0,F105*(1+$B$10)-G105))</f>
        <v>0</v>
      </c>
      <c r="I105" s="43" t="n">
        <f aca="false">IF(A105&gt;$B$7,I104,I104*(1+$B$6)+$B$8)</f>
        <v>32695.6526290079</v>
      </c>
    </row>
    <row r="106" customFormat="false" ht="15" hidden="false" customHeight="false" outlineLevel="0" collapsed="false">
      <c r="A106" s="13" t="n">
        <v>90</v>
      </c>
      <c r="B106" s="43" t="str">
        <f aca="false">IF(A106&gt;$B$7,"",IF(A106=1,$B$5,E105))</f>
        <v/>
      </c>
      <c r="C106" s="43" t="str">
        <f aca="false">IF(A106&gt;$B$7,"",B106*$B$6)</f>
        <v/>
      </c>
      <c r="D106" s="43" t="str">
        <f aca="false">IF(A106&gt;$B$7,"",$B$8)</f>
        <v/>
      </c>
      <c r="E106" s="19" t="n">
        <f aca="false">IF(A106&gt;$B$7,0,IF(ABS(B106+C106-D106)&lt;0.005,0,B106+C106-D106))</f>
        <v>0</v>
      </c>
      <c r="F106" s="43" t="str">
        <f aca="false">IF(A106&gt;$B$12,"",IF(A106=1,$B$9,H105))</f>
        <v/>
      </c>
      <c r="G106" s="43" t="str">
        <f aca="false">IF(A106&gt;$B$12,"",$B$13*(1+$B$11)^(A106-1))</f>
        <v/>
      </c>
      <c r="H106" s="19" t="n">
        <f aca="false">IF(A106&gt;$B$12,0,IF(ABS(F106*(1+$B$10)-G106)&lt;0.005,0,F106*(1+$B$10)-G106))</f>
        <v>0</v>
      </c>
      <c r="I106" s="43" t="n">
        <f aca="false">IF(A106&gt;$B$7,I105,I105*(1+$B$6)+$B$8)</f>
        <v>32695.6526290079</v>
      </c>
    </row>
    <row r="107" customFormat="false" ht="15" hidden="false" customHeight="false" outlineLevel="0" collapsed="false">
      <c r="A107" s="13" t="n">
        <v>91</v>
      </c>
      <c r="B107" s="43" t="str">
        <f aca="false">IF(A107&gt;$B$7,"",IF(A107=1,$B$5,E106))</f>
        <v/>
      </c>
      <c r="C107" s="43" t="str">
        <f aca="false">IF(A107&gt;$B$7,"",B107*$B$6)</f>
        <v/>
      </c>
      <c r="D107" s="43" t="str">
        <f aca="false">IF(A107&gt;$B$7,"",$B$8)</f>
        <v/>
      </c>
      <c r="E107" s="19" t="n">
        <f aca="false">IF(A107&gt;$B$7,0,IF(ABS(B107+C107-D107)&lt;0.005,0,B107+C107-D107))</f>
        <v>0</v>
      </c>
      <c r="F107" s="43" t="str">
        <f aca="false">IF(A107&gt;$B$12,"",IF(A107=1,$B$9,H106))</f>
        <v/>
      </c>
      <c r="G107" s="43" t="str">
        <f aca="false">IF(A107&gt;$B$12,"",$B$13*(1+$B$11)^(A107-1))</f>
        <v/>
      </c>
      <c r="H107" s="19" t="n">
        <f aca="false">IF(A107&gt;$B$12,0,IF(ABS(F107*(1+$B$10)-G107)&lt;0.005,0,F107*(1+$B$10)-G107))</f>
        <v>0</v>
      </c>
      <c r="I107" s="43" t="n">
        <f aca="false">IF(A107&gt;$B$7,I106,I106*(1+$B$6)+$B$8)</f>
        <v>32695.6526290079</v>
      </c>
    </row>
    <row r="108" customFormat="false" ht="15" hidden="false" customHeight="false" outlineLevel="0" collapsed="false">
      <c r="A108" s="13" t="n">
        <v>92</v>
      </c>
      <c r="B108" s="43" t="str">
        <f aca="false">IF(A108&gt;$B$7,"",IF(A108=1,$B$5,E107))</f>
        <v/>
      </c>
      <c r="C108" s="43" t="str">
        <f aca="false">IF(A108&gt;$B$7,"",B108*$B$6)</f>
        <v/>
      </c>
      <c r="D108" s="43" t="str">
        <f aca="false">IF(A108&gt;$B$7,"",$B$8)</f>
        <v/>
      </c>
      <c r="E108" s="19" t="n">
        <f aca="false">IF(A108&gt;$B$7,0,IF(ABS(B108+C108-D108)&lt;0.005,0,B108+C108-D108))</f>
        <v>0</v>
      </c>
      <c r="F108" s="43" t="str">
        <f aca="false">IF(A108&gt;$B$12,"",IF(A108=1,$B$9,H107))</f>
        <v/>
      </c>
      <c r="G108" s="43" t="str">
        <f aca="false">IF(A108&gt;$B$12,"",$B$13*(1+$B$11)^(A108-1))</f>
        <v/>
      </c>
      <c r="H108" s="19" t="n">
        <f aca="false">IF(A108&gt;$B$12,0,IF(ABS(F108*(1+$B$10)-G108)&lt;0.005,0,F108*(1+$B$10)-G108))</f>
        <v>0</v>
      </c>
      <c r="I108" s="43" t="n">
        <f aca="false">IF(A108&gt;$B$7,I107,I107*(1+$B$6)+$B$8)</f>
        <v>32695.6526290079</v>
      </c>
    </row>
    <row r="109" customFormat="false" ht="15" hidden="false" customHeight="false" outlineLevel="0" collapsed="false">
      <c r="A109" s="13" t="n">
        <v>93</v>
      </c>
      <c r="B109" s="43" t="str">
        <f aca="false">IF(A109&gt;$B$7,"",IF(A109=1,$B$5,E108))</f>
        <v/>
      </c>
      <c r="C109" s="43" t="str">
        <f aca="false">IF(A109&gt;$B$7,"",B109*$B$6)</f>
        <v/>
      </c>
      <c r="D109" s="43" t="str">
        <f aca="false">IF(A109&gt;$B$7,"",$B$8)</f>
        <v/>
      </c>
      <c r="E109" s="19" t="n">
        <f aca="false">IF(A109&gt;$B$7,0,IF(ABS(B109+C109-D109)&lt;0.005,0,B109+C109-D109))</f>
        <v>0</v>
      </c>
      <c r="F109" s="43" t="str">
        <f aca="false">IF(A109&gt;$B$12,"",IF(A109=1,$B$9,H108))</f>
        <v/>
      </c>
      <c r="G109" s="43" t="str">
        <f aca="false">IF(A109&gt;$B$12,"",$B$13*(1+$B$11)^(A109-1))</f>
        <v/>
      </c>
      <c r="H109" s="19" t="n">
        <f aca="false">IF(A109&gt;$B$12,0,IF(ABS(F109*(1+$B$10)-G109)&lt;0.005,0,F109*(1+$B$10)-G109))</f>
        <v>0</v>
      </c>
      <c r="I109" s="43" t="n">
        <f aca="false">IF(A109&gt;$B$7,I108,I108*(1+$B$6)+$B$8)</f>
        <v>32695.6526290079</v>
      </c>
    </row>
    <row r="110" customFormat="false" ht="15" hidden="false" customHeight="false" outlineLevel="0" collapsed="false">
      <c r="A110" s="13" t="n">
        <v>94</v>
      </c>
      <c r="B110" s="43" t="str">
        <f aca="false">IF(A110&gt;$B$7,"",IF(A110=1,$B$5,E109))</f>
        <v/>
      </c>
      <c r="C110" s="43" t="str">
        <f aca="false">IF(A110&gt;$B$7,"",B110*$B$6)</f>
        <v/>
      </c>
      <c r="D110" s="43" t="str">
        <f aca="false">IF(A110&gt;$B$7,"",$B$8)</f>
        <v/>
      </c>
      <c r="E110" s="19" t="n">
        <f aca="false">IF(A110&gt;$B$7,0,IF(ABS(B110+C110-D110)&lt;0.005,0,B110+C110-D110))</f>
        <v>0</v>
      </c>
      <c r="F110" s="43" t="str">
        <f aca="false">IF(A110&gt;$B$12,"",IF(A110=1,$B$9,H109))</f>
        <v/>
      </c>
      <c r="G110" s="43" t="str">
        <f aca="false">IF(A110&gt;$B$12,"",$B$13*(1+$B$11)^(A110-1))</f>
        <v/>
      </c>
      <c r="H110" s="19" t="n">
        <f aca="false">IF(A110&gt;$B$12,0,IF(ABS(F110*(1+$B$10)-G110)&lt;0.005,0,F110*(1+$B$10)-G110))</f>
        <v>0</v>
      </c>
      <c r="I110" s="43" t="n">
        <f aca="false">IF(A110&gt;$B$7,I109,I109*(1+$B$6)+$B$8)</f>
        <v>32695.6526290079</v>
      </c>
    </row>
    <row r="111" customFormat="false" ht="15" hidden="false" customHeight="false" outlineLevel="0" collapsed="false">
      <c r="A111" s="13" t="n">
        <v>95</v>
      </c>
      <c r="B111" s="43" t="str">
        <f aca="false">IF(A111&gt;$B$7,"",IF(A111=1,$B$5,E110))</f>
        <v/>
      </c>
      <c r="C111" s="43" t="str">
        <f aca="false">IF(A111&gt;$B$7,"",B111*$B$6)</f>
        <v/>
      </c>
      <c r="D111" s="43" t="str">
        <f aca="false">IF(A111&gt;$B$7,"",$B$8)</f>
        <v/>
      </c>
      <c r="E111" s="19" t="n">
        <f aca="false">IF(A111&gt;$B$7,0,IF(ABS(B111+C111-D111)&lt;0.005,0,B111+C111-D111))</f>
        <v>0</v>
      </c>
      <c r="F111" s="43" t="str">
        <f aca="false">IF(A111&gt;$B$12,"",IF(A111=1,$B$9,H110))</f>
        <v/>
      </c>
      <c r="G111" s="43" t="str">
        <f aca="false">IF(A111&gt;$B$12,"",$B$13*(1+$B$11)^(A111-1))</f>
        <v/>
      </c>
      <c r="H111" s="19" t="n">
        <f aca="false">IF(A111&gt;$B$12,0,IF(ABS(F111*(1+$B$10)-G111)&lt;0.005,0,F111*(1+$B$10)-G111))</f>
        <v>0</v>
      </c>
      <c r="I111" s="43" t="n">
        <f aca="false">IF(A111&gt;$B$7,I110,I110*(1+$B$6)+$B$8)</f>
        <v>32695.6526290079</v>
      </c>
    </row>
    <row r="112" customFormat="false" ht="15" hidden="false" customHeight="false" outlineLevel="0" collapsed="false">
      <c r="A112" s="13" t="n">
        <v>96</v>
      </c>
      <c r="B112" s="43" t="str">
        <f aca="false">IF(A112&gt;$B$7,"",IF(A112=1,$B$5,E111))</f>
        <v/>
      </c>
      <c r="C112" s="43" t="str">
        <f aca="false">IF(A112&gt;$B$7,"",B112*$B$6)</f>
        <v/>
      </c>
      <c r="D112" s="43" t="str">
        <f aca="false">IF(A112&gt;$B$7,"",$B$8)</f>
        <v/>
      </c>
      <c r="E112" s="19" t="n">
        <f aca="false">IF(A112&gt;$B$7,0,IF(ABS(B112+C112-D112)&lt;0.005,0,B112+C112-D112))</f>
        <v>0</v>
      </c>
      <c r="F112" s="43" t="str">
        <f aca="false">IF(A112&gt;$B$12,"",IF(A112=1,$B$9,H111))</f>
        <v/>
      </c>
      <c r="G112" s="43" t="str">
        <f aca="false">IF(A112&gt;$B$12,"",$B$13*(1+$B$11)^(A112-1))</f>
        <v/>
      </c>
      <c r="H112" s="19" t="n">
        <f aca="false">IF(A112&gt;$B$12,0,IF(ABS(F112*(1+$B$10)-G112)&lt;0.005,0,F112*(1+$B$10)-G112))</f>
        <v>0</v>
      </c>
      <c r="I112" s="43" t="n">
        <f aca="false">IF(A112&gt;$B$7,I111,I111*(1+$B$6)+$B$8)</f>
        <v>32695.6526290079</v>
      </c>
    </row>
    <row r="113" customFormat="false" ht="15" hidden="false" customHeight="false" outlineLevel="0" collapsed="false">
      <c r="A113" s="13" t="n">
        <v>97</v>
      </c>
      <c r="B113" s="43" t="str">
        <f aca="false">IF(A113&gt;$B$7,"",IF(A113=1,$B$5,E112))</f>
        <v/>
      </c>
      <c r="C113" s="43" t="str">
        <f aca="false">IF(A113&gt;$B$7,"",B113*$B$6)</f>
        <v/>
      </c>
      <c r="D113" s="43" t="str">
        <f aca="false">IF(A113&gt;$B$7,"",$B$8)</f>
        <v/>
      </c>
      <c r="E113" s="19" t="n">
        <f aca="false">IF(A113&gt;$B$7,0,IF(ABS(B113+C113-D113)&lt;0.005,0,B113+C113-D113))</f>
        <v>0</v>
      </c>
      <c r="F113" s="43" t="str">
        <f aca="false">IF(A113&gt;$B$12,"",IF(A113=1,$B$9,H112))</f>
        <v/>
      </c>
      <c r="G113" s="43" t="str">
        <f aca="false">IF(A113&gt;$B$12,"",$B$13*(1+$B$11)^(A113-1))</f>
        <v/>
      </c>
      <c r="H113" s="19" t="n">
        <f aca="false">IF(A113&gt;$B$12,0,IF(ABS(F113*(1+$B$10)-G113)&lt;0.005,0,F113*(1+$B$10)-G113))</f>
        <v>0</v>
      </c>
      <c r="I113" s="43" t="n">
        <f aca="false">IF(A113&gt;$B$7,I112,I112*(1+$B$6)+$B$8)</f>
        <v>32695.6526290079</v>
      </c>
    </row>
    <row r="114" customFormat="false" ht="15" hidden="false" customHeight="false" outlineLevel="0" collapsed="false">
      <c r="A114" s="13" t="n">
        <v>98</v>
      </c>
      <c r="B114" s="43" t="str">
        <f aca="false">IF(A114&gt;$B$7,"",IF(A114=1,$B$5,E113))</f>
        <v/>
      </c>
      <c r="C114" s="43" t="str">
        <f aca="false">IF(A114&gt;$B$7,"",B114*$B$6)</f>
        <v/>
      </c>
      <c r="D114" s="43" t="str">
        <f aca="false">IF(A114&gt;$B$7,"",$B$8)</f>
        <v/>
      </c>
      <c r="E114" s="19" t="n">
        <f aca="false">IF(A114&gt;$B$7,0,IF(ABS(B114+C114-D114)&lt;0.005,0,B114+C114-D114))</f>
        <v>0</v>
      </c>
      <c r="F114" s="43" t="str">
        <f aca="false">IF(A114&gt;$B$12,"",IF(A114=1,$B$9,H113))</f>
        <v/>
      </c>
      <c r="G114" s="43" t="str">
        <f aca="false">IF(A114&gt;$B$12,"",$B$13*(1+$B$11)^(A114-1))</f>
        <v/>
      </c>
      <c r="H114" s="19" t="n">
        <f aca="false">IF(A114&gt;$B$12,0,IF(ABS(F114*(1+$B$10)-G114)&lt;0.005,0,F114*(1+$B$10)-G114))</f>
        <v>0</v>
      </c>
      <c r="I114" s="43" t="n">
        <f aca="false">IF(A114&gt;$B$7,I113,I113*(1+$B$6)+$B$8)</f>
        <v>32695.6526290079</v>
      </c>
    </row>
    <row r="115" customFormat="false" ht="15" hidden="false" customHeight="false" outlineLevel="0" collapsed="false">
      <c r="A115" s="13" t="n">
        <v>99</v>
      </c>
      <c r="B115" s="43" t="str">
        <f aca="false">IF(A115&gt;$B$7,"",IF(A115=1,$B$5,E114))</f>
        <v/>
      </c>
      <c r="C115" s="43" t="str">
        <f aca="false">IF(A115&gt;$B$7,"",B115*$B$6)</f>
        <v/>
      </c>
      <c r="D115" s="43" t="str">
        <f aca="false">IF(A115&gt;$B$7,"",$B$8)</f>
        <v/>
      </c>
      <c r="E115" s="19" t="n">
        <f aca="false">IF(A115&gt;$B$7,0,IF(ABS(B115+C115-D115)&lt;0.005,0,B115+C115-D115))</f>
        <v>0</v>
      </c>
      <c r="F115" s="43" t="str">
        <f aca="false">IF(A115&gt;$B$12,"",IF(A115=1,$B$9,H114))</f>
        <v/>
      </c>
      <c r="G115" s="43" t="str">
        <f aca="false">IF(A115&gt;$B$12,"",$B$13*(1+$B$11)^(A115-1))</f>
        <v/>
      </c>
      <c r="H115" s="19" t="n">
        <f aca="false">IF(A115&gt;$B$12,0,IF(ABS(F115*(1+$B$10)-G115)&lt;0.005,0,F115*(1+$B$10)-G115))</f>
        <v>0</v>
      </c>
      <c r="I115" s="43" t="n">
        <f aca="false">IF(A115&gt;$B$7,I114,I114*(1+$B$6)+$B$8)</f>
        <v>32695.6526290079</v>
      </c>
    </row>
    <row r="116" customFormat="false" ht="15" hidden="false" customHeight="false" outlineLevel="0" collapsed="false">
      <c r="A116" s="13" t="n">
        <v>100</v>
      </c>
      <c r="B116" s="43" t="str">
        <f aca="false">IF(A116&gt;$B$7,"",IF(A116=1,$B$5,E115))</f>
        <v/>
      </c>
      <c r="C116" s="43" t="str">
        <f aca="false">IF(A116&gt;$B$7,"",B116*$B$6)</f>
        <v/>
      </c>
      <c r="D116" s="43" t="str">
        <f aca="false">IF(A116&gt;$B$7,"",$B$8)</f>
        <v/>
      </c>
      <c r="E116" s="19" t="n">
        <f aca="false">IF(A116&gt;$B$7,0,IF(ABS(B116+C116-D116)&lt;0.005,0,B116+C116-D116))</f>
        <v>0</v>
      </c>
      <c r="F116" s="43" t="str">
        <f aca="false">IF(A116&gt;$B$12,"",IF(A116=1,$B$9,H115))</f>
        <v/>
      </c>
      <c r="G116" s="43" t="str">
        <f aca="false">IF(A116&gt;$B$12,"",$B$13*(1+$B$11)^(A116-1))</f>
        <v/>
      </c>
      <c r="H116" s="19" t="n">
        <f aca="false">IF(A116&gt;$B$12,0,IF(ABS(F116*(1+$B$10)-G116)&lt;0.005,0,F116*(1+$B$10)-G116))</f>
        <v>0</v>
      </c>
      <c r="I116" s="43" t="n">
        <f aca="false">IF(A116&gt;$B$7,I115,I115*(1+$B$6)+$B$8)</f>
        <v>32695.6526290079</v>
      </c>
    </row>
    <row r="117" customFormat="false" ht="15" hidden="false" customHeight="false" outlineLevel="0" collapsed="false">
      <c r="A117" s="13" t="n">
        <v>101</v>
      </c>
      <c r="B117" s="43" t="str">
        <f aca="false">IF(A117&gt;$B$7,"",IF(A117=1,$B$5,E116))</f>
        <v/>
      </c>
      <c r="C117" s="43" t="str">
        <f aca="false">IF(A117&gt;$B$7,"",B117*$B$6)</f>
        <v/>
      </c>
      <c r="D117" s="43" t="str">
        <f aca="false">IF(A117&gt;$B$7,"",$B$8)</f>
        <v/>
      </c>
      <c r="E117" s="19" t="n">
        <f aca="false">IF(A117&gt;$B$7,0,IF(ABS(B117+C117-D117)&lt;0.005,0,B117+C117-D117))</f>
        <v>0</v>
      </c>
      <c r="F117" s="43" t="str">
        <f aca="false">IF(A117&gt;$B$12,"",IF(A117=1,$B$9,H116))</f>
        <v/>
      </c>
      <c r="G117" s="43" t="str">
        <f aca="false">IF(A117&gt;$B$12,"",$B$13*(1+$B$11)^(A117-1))</f>
        <v/>
      </c>
      <c r="H117" s="19" t="n">
        <f aca="false">IF(A117&gt;$B$12,0,IF(ABS(F117*(1+$B$10)-G117)&lt;0.005,0,F117*(1+$B$10)-G117))</f>
        <v>0</v>
      </c>
      <c r="I117" s="43" t="n">
        <f aca="false">IF(A117&gt;$B$7,I116,I116*(1+$B$6)+$B$8)</f>
        <v>32695.6526290079</v>
      </c>
    </row>
    <row r="118" customFormat="false" ht="15" hidden="false" customHeight="false" outlineLevel="0" collapsed="false">
      <c r="A118" s="13" t="n">
        <v>102</v>
      </c>
      <c r="B118" s="43" t="str">
        <f aca="false">IF(A118&gt;$B$7,"",IF(A118=1,$B$5,E117))</f>
        <v/>
      </c>
      <c r="C118" s="43" t="str">
        <f aca="false">IF(A118&gt;$B$7,"",B118*$B$6)</f>
        <v/>
      </c>
      <c r="D118" s="43" t="str">
        <f aca="false">IF(A118&gt;$B$7,"",$B$8)</f>
        <v/>
      </c>
      <c r="E118" s="19" t="n">
        <f aca="false">IF(A118&gt;$B$7,0,IF(ABS(B118+C118-D118)&lt;0.005,0,B118+C118-D118))</f>
        <v>0</v>
      </c>
      <c r="F118" s="43" t="str">
        <f aca="false">IF(A118&gt;$B$12,"",IF(A118=1,$B$9,H117))</f>
        <v/>
      </c>
      <c r="G118" s="43" t="str">
        <f aca="false">IF(A118&gt;$B$12,"",$B$13*(1+$B$11)^(A118-1))</f>
        <v/>
      </c>
      <c r="H118" s="19" t="n">
        <f aca="false">IF(A118&gt;$B$12,0,IF(ABS(F118*(1+$B$10)-G118)&lt;0.005,0,F118*(1+$B$10)-G118))</f>
        <v>0</v>
      </c>
      <c r="I118" s="43" t="n">
        <f aca="false">IF(A118&gt;$B$7,I117,I117*(1+$B$6)+$B$8)</f>
        <v>32695.6526290079</v>
      </c>
    </row>
    <row r="119" customFormat="false" ht="15" hidden="false" customHeight="false" outlineLevel="0" collapsed="false">
      <c r="A119" s="13" t="n">
        <v>103</v>
      </c>
      <c r="B119" s="43" t="str">
        <f aca="false">IF(A119&gt;$B$7,"",IF(A119=1,$B$5,E118))</f>
        <v/>
      </c>
      <c r="C119" s="43" t="str">
        <f aca="false">IF(A119&gt;$B$7,"",B119*$B$6)</f>
        <v/>
      </c>
      <c r="D119" s="43" t="str">
        <f aca="false">IF(A119&gt;$B$7,"",$B$8)</f>
        <v/>
      </c>
      <c r="E119" s="19" t="n">
        <f aca="false">IF(A119&gt;$B$7,0,IF(ABS(B119+C119-D119)&lt;0.005,0,B119+C119-D119))</f>
        <v>0</v>
      </c>
      <c r="F119" s="43" t="str">
        <f aca="false">IF(A119&gt;$B$12,"",IF(A119=1,$B$9,H118))</f>
        <v/>
      </c>
      <c r="G119" s="43" t="str">
        <f aca="false">IF(A119&gt;$B$12,"",$B$13*(1+$B$11)^(A119-1))</f>
        <v/>
      </c>
      <c r="H119" s="19" t="n">
        <f aca="false">IF(A119&gt;$B$12,0,IF(ABS(F119*(1+$B$10)-G119)&lt;0.005,0,F119*(1+$B$10)-G119))</f>
        <v>0</v>
      </c>
      <c r="I119" s="43" t="n">
        <f aca="false">IF(A119&gt;$B$7,I118,I118*(1+$B$6)+$B$8)</f>
        <v>32695.6526290079</v>
      </c>
    </row>
    <row r="120" customFormat="false" ht="15" hidden="false" customHeight="false" outlineLevel="0" collapsed="false">
      <c r="A120" s="13" t="n">
        <v>104</v>
      </c>
      <c r="B120" s="43" t="str">
        <f aca="false">IF(A120&gt;$B$7,"",IF(A120=1,$B$5,E119))</f>
        <v/>
      </c>
      <c r="C120" s="43" t="str">
        <f aca="false">IF(A120&gt;$B$7,"",B120*$B$6)</f>
        <v/>
      </c>
      <c r="D120" s="43" t="str">
        <f aca="false">IF(A120&gt;$B$7,"",$B$8)</f>
        <v/>
      </c>
      <c r="E120" s="19" t="n">
        <f aca="false">IF(A120&gt;$B$7,0,IF(ABS(B120+C120-D120)&lt;0.005,0,B120+C120-D120))</f>
        <v>0</v>
      </c>
      <c r="F120" s="43" t="str">
        <f aca="false">IF(A120&gt;$B$12,"",IF(A120=1,$B$9,H119))</f>
        <v/>
      </c>
      <c r="G120" s="43" t="str">
        <f aca="false">IF(A120&gt;$B$12,"",$B$13*(1+$B$11)^(A120-1))</f>
        <v/>
      </c>
      <c r="H120" s="19" t="n">
        <f aca="false">IF(A120&gt;$B$12,0,IF(ABS(F120*(1+$B$10)-G120)&lt;0.005,0,F120*(1+$B$10)-G120))</f>
        <v>0</v>
      </c>
      <c r="I120" s="43" t="n">
        <f aca="false">IF(A120&gt;$B$7,I119,I119*(1+$B$6)+$B$8)</f>
        <v>32695.6526290079</v>
      </c>
    </row>
    <row r="121" customFormat="false" ht="15" hidden="false" customHeight="false" outlineLevel="0" collapsed="false">
      <c r="A121" s="13" t="n">
        <v>105</v>
      </c>
      <c r="B121" s="43" t="str">
        <f aca="false">IF(A121&gt;$B$7,"",IF(A121=1,$B$5,E120))</f>
        <v/>
      </c>
      <c r="C121" s="43" t="str">
        <f aca="false">IF(A121&gt;$B$7,"",B121*$B$6)</f>
        <v/>
      </c>
      <c r="D121" s="43" t="str">
        <f aca="false">IF(A121&gt;$B$7,"",$B$8)</f>
        <v/>
      </c>
      <c r="E121" s="19" t="n">
        <f aca="false">IF(A121&gt;$B$7,0,IF(ABS(B121+C121-D121)&lt;0.005,0,B121+C121-D121))</f>
        <v>0</v>
      </c>
      <c r="F121" s="43" t="str">
        <f aca="false">IF(A121&gt;$B$12,"",IF(A121=1,$B$9,H120))</f>
        <v/>
      </c>
      <c r="G121" s="43" t="str">
        <f aca="false">IF(A121&gt;$B$12,"",$B$13*(1+$B$11)^(A121-1))</f>
        <v/>
      </c>
      <c r="H121" s="19" t="n">
        <f aca="false">IF(A121&gt;$B$12,0,IF(ABS(F121*(1+$B$10)-G121)&lt;0.005,0,F121*(1+$B$10)-G121))</f>
        <v>0</v>
      </c>
      <c r="I121" s="43" t="n">
        <f aca="false">IF(A121&gt;$B$7,I120,I120*(1+$B$6)+$B$8)</f>
        <v>32695.6526290079</v>
      </c>
    </row>
    <row r="122" customFormat="false" ht="15" hidden="false" customHeight="false" outlineLevel="0" collapsed="false">
      <c r="A122" s="13" t="n">
        <v>106</v>
      </c>
      <c r="B122" s="43" t="str">
        <f aca="false">IF(A122&gt;$B$7,"",IF(A122=1,$B$5,E121))</f>
        <v/>
      </c>
      <c r="C122" s="43" t="str">
        <f aca="false">IF(A122&gt;$B$7,"",B122*$B$6)</f>
        <v/>
      </c>
      <c r="D122" s="43" t="str">
        <f aca="false">IF(A122&gt;$B$7,"",$B$8)</f>
        <v/>
      </c>
      <c r="E122" s="19" t="n">
        <f aca="false">IF(A122&gt;$B$7,0,IF(ABS(B122+C122-D122)&lt;0.005,0,B122+C122-D122))</f>
        <v>0</v>
      </c>
      <c r="F122" s="43" t="str">
        <f aca="false">IF(A122&gt;$B$12,"",IF(A122=1,$B$9,H121))</f>
        <v/>
      </c>
      <c r="G122" s="43" t="str">
        <f aca="false">IF(A122&gt;$B$12,"",$B$13*(1+$B$11)^(A122-1))</f>
        <v/>
      </c>
      <c r="H122" s="19" t="n">
        <f aca="false">IF(A122&gt;$B$12,0,IF(ABS(F122*(1+$B$10)-G122)&lt;0.005,0,F122*(1+$B$10)-G122))</f>
        <v>0</v>
      </c>
      <c r="I122" s="43" t="n">
        <f aca="false">IF(A122&gt;$B$7,I121,I121*(1+$B$6)+$B$8)</f>
        <v>32695.6526290079</v>
      </c>
    </row>
    <row r="123" customFormat="false" ht="15" hidden="false" customHeight="false" outlineLevel="0" collapsed="false">
      <c r="A123" s="13" t="n">
        <v>107</v>
      </c>
      <c r="B123" s="43" t="str">
        <f aca="false">IF(A123&gt;$B$7,"",IF(A123=1,$B$5,E122))</f>
        <v/>
      </c>
      <c r="C123" s="43" t="str">
        <f aca="false">IF(A123&gt;$B$7,"",B123*$B$6)</f>
        <v/>
      </c>
      <c r="D123" s="43" t="str">
        <f aca="false">IF(A123&gt;$B$7,"",$B$8)</f>
        <v/>
      </c>
      <c r="E123" s="19" t="n">
        <f aca="false">IF(A123&gt;$B$7,0,IF(ABS(B123+C123-D123)&lt;0.005,0,B123+C123-D123))</f>
        <v>0</v>
      </c>
      <c r="F123" s="43" t="str">
        <f aca="false">IF(A123&gt;$B$12,"",IF(A123=1,$B$9,H122))</f>
        <v/>
      </c>
      <c r="G123" s="43" t="str">
        <f aca="false">IF(A123&gt;$B$12,"",$B$13*(1+$B$11)^(A123-1))</f>
        <v/>
      </c>
      <c r="H123" s="19" t="n">
        <f aca="false">IF(A123&gt;$B$12,0,IF(ABS(F123*(1+$B$10)-G123)&lt;0.005,0,F123*(1+$B$10)-G123))</f>
        <v>0</v>
      </c>
      <c r="I123" s="43" t="n">
        <f aca="false">IF(A123&gt;$B$7,I122,I122*(1+$B$6)+$B$8)</f>
        <v>32695.6526290079</v>
      </c>
    </row>
    <row r="124" customFormat="false" ht="15" hidden="false" customHeight="false" outlineLevel="0" collapsed="false">
      <c r="A124" s="13" t="n">
        <v>108</v>
      </c>
      <c r="B124" s="43" t="str">
        <f aca="false">IF(A124&gt;$B$7,"",IF(A124=1,$B$5,E123))</f>
        <v/>
      </c>
      <c r="C124" s="43" t="str">
        <f aca="false">IF(A124&gt;$B$7,"",B124*$B$6)</f>
        <v/>
      </c>
      <c r="D124" s="43" t="str">
        <f aca="false">IF(A124&gt;$B$7,"",$B$8)</f>
        <v/>
      </c>
      <c r="E124" s="19" t="n">
        <f aca="false">IF(A124&gt;$B$7,0,IF(ABS(B124+C124-D124)&lt;0.005,0,B124+C124-D124))</f>
        <v>0</v>
      </c>
      <c r="F124" s="43" t="str">
        <f aca="false">IF(A124&gt;$B$12,"",IF(A124=1,$B$9,H123))</f>
        <v/>
      </c>
      <c r="G124" s="43" t="str">
        <f aca="false">IF(A124&gt;$B$12,"",$B$13*(1+$B$11)^(A124-1))</f>
        <v/>
      </c>
      <c r="H124" s="19" t="n">
        <f aca="false">IF(A124&gt;$B$12,0,IF(ABS(F124*(1+$B$10)-G124)&lt;0.005,0,F124*(1+$B$10)-G124))</f>
        <v>0</v>
      </c>
      <c r="I124" s="43" t="n">
        <f aca="false">IF(A124&gt;$B$7,I123,I123*(1+$B$6)+$B$8)</f>
        <v>32695.6526290079</v>
      </c>
    </row>
    <row r="125" customFormat="false" ht="15" hidden="false" customHeight="false" outlineLevel="0" collapsed="false">
      <c r="A125" s="13" t="n">
        <v>109</v>
      </c>
      <c r="B125" s="43" t="str">
        <f aca="false">IF(A125&gt;$B$7,"",IF(A125=1,$B$5,E124))</f>
        <v/>
      </c>
      <c r="C125" s="43" t="str">
        <f aca="false">IF(A125&gt;$B$7,"",B125*$B$6)</f>
        <v/>
      </c>
      <c r="D125" s="43" t="str">
        <f aca="false">IF(A125&gt;$B$7,"",$B$8)</f>
        <v/>
      </c>
      <c r="E125" s="19" t="n">
        <f aca="false">IF(A125&gt;$B$7,0,IF(ABS(B125+C125-D125)&lt;0.005,0,B125+C125-D125))</f>
        <v>0</v>
      </c>
      <c r="F125" s="43" t="str">
        <f aca="false">IF(A125&gt;$B$12,"",IF(A125=1,$B$9,H124))</f>
        <v/>
      </c>
      <c r="G125" s="43" t="str">
        <f aca="false">IF(A125&gt;$B$12,"",$B$13*(1+$B$11)^(A125-1))</f>
        <v/>
      </c>
      <c r="H125" s="19" t="n">
        <f aca="false">IF(A125&gt;$B$12,0,IF(ABS(F125*(1+$B$10)-G125)&lt;0.005,0,F125*(1+$B$10)-G125))</f>
        <v>0</v>
      </c>
      <c r="I125" s="43" t="n">
        <f aca="false">IF(A125&gt;$B$7,I124,I124*(1+$B$6)+$B$8)</f>
        <v>32695.6526290079</v>
      </c>
    </row>
    <row r="126" customFormat="false" ht="15" hidden="false" customHeight="false" outlineLevel="0" collapsed="false">
      <c r="A126" s="13" t="n">
        <v>110</v>
      </c>
      <c r="B126" s="43" t="str">
        <f aca="false">IF(A126&gt;$B$7,"",IF(A126=1,$B$5,E125))</f>
        <v/>
      </c>
      <c r="C126" s="43" t="str">
        <f aca="false">IF(A126&gt;$B$7,"",B126*$B$6)</f>
        <v/>
      </c>
      <c r="D126" s="43" t="str">
        <f aca="false">IF(A126&gt;$B$7,"",$B$8)</f>
        <v/>
      </c>
      <c r="E126" s="19" t="n">
        <f aca="false">IF(A126&gt;$B$7,0,IF(ABS(B126+C126-D126)&lt;0.005,0,B126+C126-D126))</f>
        <v>0</v>
      </c>
      <c r="F126" s="43" t="str">
        <f aca="false">IF(A126&gt;$B$12,"",IF(A126=1,$B$9,H125))</f>
        <v/>
      </c>
      <c r="G126" s="43" t="str">
        <f aca="false">IF(A126&gt;$B$12,"",$B$13*(1+$B$11)^(A126-1))</f>
        <v/>
      </c>
      <c r="H126" s="19" t="n">
        <f aca="false">IF(A126&gt;$B$12,0,IF(ABS(F126*(1+$B$10)-G126)&lt;0.005,0,F126*(1+$B$10)-G126))</f>
        <v>0</v>
      </c>
      <c r="I126" s="43" t="n">
        <f aca="false">IF(A126&gt;$B$7,I125,I125*(1+$B$6)+$B$8)</f>
        <v>32695.6526290079</v>
      </c>
    </row>
    <row r="127" customFormat="false" ht="15" hidden="false" customHeight="false" outlineLevel="0" collapsed="false">
      <c r="A127" s="13" t="n">
        <v>111</v>
      </c>
      <c r="B127" s="43" t="str">
        <f aca="false">IF(A127&gt;$B$7,"",IF(A127=1,$B$5,E126))</f>
        <v/>
      </c>
      <c r="C127" s="43" t="str">
        <f aca="false">IF(A127&gt;$B$7,"",B127*$B$6)</f>
        <v/>
      </c>
      <c r="D127" s="43" t="str">
        <f aca="false">IF(A127&gt;$B$7,"",$B$8)</f>
        <v/>
      </c>
      <c r="E127" s="19" t="n">
        <f aca="false">IF(A127&gt;$B$7,0,IF(ABS(B127+C127-D127)&lt;0.005,0,B127+C127-D127))</f>
        <v>0</v>
      </c>
      <c r="F127" s="43" t="str">
        <f aca="false">IF(A127&gt;$B$12,"",IF(A127=1,$B$9,H126))</f>
        <v/>
      </c>
      <c r="G127" s="43" t="str">
        <f aca="false">IF(A127&gt;$B$12,"",$B$13*(1+$B$11)^(A127-1))</f>
        <v/>
      </c>
      <c r="H127" s="19" t="n">
        <f aca="false">IF(A127&gt;$B$12,0,IF(ABS(F127*(1+$B$10)-G127)&lt;0.005,0,F127*(1+$B$10)-G127))</f>
        <v>0</v>
      </c>
      <c r="I127" s="43" t="n">
        <f aca="false">IF(A127&gt;$B$7,I126,I126*(1+$B$6)+$B$8)</f>
        <v>32695.6526290079</v>
      </c>
    </row>
    <row r="128" customFormat="false" ht="15" hidden="false" customHeight="false" outlineLevel="0" collapsed="false">
      <c r="A128" s="13" t="n">
        <v>112</v>
      </c>
      <c r="B128" s="43" t="str">
        <f aca="false">IF(A128&gt;$B$7,"",IF(A128=1,$B$5,E127))</f>
        <v/>
      </c>
      <c r="C128" s="43" t="str">
        <f aca="false">IF(A128&gt;$B$7,"",B128*$B$6)</f>
        <v/>
      </c>
      <c r="D128" s="43" t="str">
        <f aca="false">IF(A128&gt;$B$7,"",$B$8)</f>
        <v/>
      </c>
      <c r="E128" s="19" t="n">
        <f aca="false">IF(A128&gt;$B$7,0,IF(ABS(B128+C128-D128)&lt;0.005,0,B128+C128-D128))</f>
        <v>0</v>
      </c>
      <c r="F128" s="43" t="str">
        <f aca="false">IF(A128&gt;$B$12,"",IF(A128=1,$B$9,H127))</f>
        <v/>
      </c>
      <c r="G128" s="43" t="str">
        <f aca="false">IF(A128&gt;$B$12,"",$B$13*(1+$B$11)^(A128-1))</f>
        <v/>
      </c>
      <c r="H128" s="19" t="n">
        <f aca="false">IF(A128&gt;$B$12,0,IF(ABS(F128*(1+$B$10)-G128)&lt;0.005,0,F128*(1+$B$10)-G128))</f>
        <v>0</v>
      </c>
      <c r="I128" s="43" t="n">
        <f aca="false">IF(A128&gt;$B$7,I127,I127*(1+$B$6)+$B$8)</f>
        <v>32695.6526290079</v>
      </c>
    </row>
    <row r="129" customFormat="false" ht="15" hidden="false" customHeight="false" outlineLevel="0" collapsed="false">
      <c r="A129" s="13" t="n">
        <v>113</v>
      </c>
      <c r="B129" s="43" t="str">
        <f aca="false">IF(A129&gt;$B$7,"",IF(A129=1,$B$5,E128))</f>
        <v/>
      </c>
      <c r="C129" s="43" t="str">
        <f aca="false">IF(A129&gt;$B$7,"",B129*$B$6)</f>
        <v/>
      </c>
      <c r="D129" s="43" t="str">
        <f aca="false">IF(A129&gt;$B$7,"",$B$8)</f>
        <v/>
      </c>
      <c r="E129" s="19" t="n">
        <f aca="false">IF(A129&gt;$B$7,0,IF(ABS(B129+C129-D129)&lt;0.005,0,B129+C129-D129))</f>
        <v>0</v>
      </c>
      <c r="F129" s="43" t="str">
        <f aca="false">IF(A129&gt;$B$12,"",IF(A129=1,$B$9,H128))</f>
        <v/>
      </c>
      <c r="G129" s="43" t="str">
        <f aca="false">IF(A129&gt;$B$12,"",$B$13*(1+$B$11)^(A129-1))</f>
        <v/>
      </c>
      <c r="H129" s="19" t="n">
        <f aca="false">IF(A129&gt;$B$12,0,IF(ABS(F129*(1+$B$10)-G129)&lt;0.005,0,F129*(1+$B$10)-G129))</f>
        <v>0</v>
      </c>
      <c r="I129" s="43" t="n">
        <f aca="false">IF(A129&gt;$B$7,I128,I128*(1+$B$6)+$B$8)</f>
        <v>32695.6526290079</v>
      </c>
    </row>
    <row r="130" customFormat="false" ht="15" hidden="false" customHeight="false" outlineLevel="0" collapsed="false">
      <c r="A130" s="13" t="n">
        <v>114</v>
      </c>
      <c r="B130" s="43" t="str">
        <f aca="false">IF(A130&gt;$B$7,"",IF(A130=1,$B$5,E129))</f>
        <v/>
      </c>
      <c r="C130" s="43" t="str">
        <f aca="false">IF(A130&gt;$B$7,"",B130*$B$6)</f>
        <v/>
      </c>
      <c r="D130" s="43" t="str">
        <f aca="false">IF(A130&gt;$B$7,"",$B$8)</f>
        <v/>
      </c>
      <c r="E130" s="19" t="n">
        <f aca="false">IF(A130&gt;$B$7,0,IF(ABS(B130+C130-D130)&lt;0.005,0,B130+C130-D130))</f>
        <v>0</v>
      </c>
      <c r="F130" s="43" t="str">
        <f aca="false">IF(A130&gt;$B$12,"",IF(A130=1,$B$9,H129))</f>
        <v/>
      </c>
      <c r="G130" s="43" t="str">
        <f aca="false">IF(A130&gt;$B$12,"",$B$13*(1+$B$11)^(A130-1))</f>
        <v/>
      </c>
      <c r="H130" s="19" t="n">
        <f aca="false">IF(A130&gt;$B$12,0,IF(ABS(F130*(1+$B$10)-G130)&lt;0.005,0,F130*(1+$B$10)-G130))</f>
        <v>0</v>
      </c>
      <c r="I130" s="43" t="n">
        <f aca="false">IF(A130&gt;$B$7,I129,I129*(1+$B$6)+$B$8)</f>
        <v>32695.6526290079</v>
      </c>
    </row>
    <row r="131" customFormat="false" ht="15" hidden="false" customHeight="false" outlineLevel="0" collapsed="false">
      <c r="A131" s="13" t="n">
        <v>115</v>
      </c>
      <c r="B131" s="43" t="str">
        <f aca="false">IF(A131&gt;$B$7,"",IF(A131=1,$B$5,E130))</f>
        <v/>
      </c>
      <c r="C131" s="43" t="str">
        <f aca="false">IF(A131&gt;$B$7,"",B131*$B$6)</f>
        <v/>
      </c>
      <c r="D131" s="43" t="str">
        <f aca="false">IF(A131&gt;$B$7,"",$B$8)</f>
        <v/>
      </c>
      <c r="E131" s="19" t="n">
        <f aca="false">IF(A131&gt;$B$7,0,IF(ABS(B131+C131-D131)&lt;0.005,0,B131+C131-D131))</f>
        <v>0</v>
      </c>
      <c r="F131" s="43" t="str">
        <f aca="false">IF(A131&gt;$B$12,"",IF(A131=1,$B$9,H130))</f>
        <v/>
      </c>
      <c r="G131" s="43" t="str">
        <f aca="false">IF(A131&gt;$B$12,"",$B$13*(1+$B$11)^(A131-1))</f>
        <v/>
      </c>
      <c r="H131" s="19" t="n">
        <f aca="false">IF(A131&gt;$B$12,0,IF(ABS(F131*(1+$B$10)-G131)&lt;0.005,0,F131*(1+$B$10)-G131))</f>
        <v>0</v>
      </c>
      <c r="I131" s="43" t="n">
        <f aca="false">IF(A131&gt;$B$7,I130,I130*(1+$B$6)+$B$8)</f>
        <v>32695.6526290079</v>
      </c>
    </row>
    <row r="132" customFormat="false" ht="15" hidden="false" customHeight="false" outlineLevel="0" collapsed="false">
      <c r="A132" s="13" t="n">
        <v>116</v>
      </c>
      <c r="B132" s="43" t="str">
        <f aca="false">IF(A132&gt;$B$7,"",IF(A132=1,$B$5,E131))</f>
        <v/>
      </c>
      <c r="C132" s="43" t="str">
        <f aca="false">IF(A132&gt;$B$7,"",B132*$B$6)</f>
        <v/>
      </c>
      <c r="D132" s="43" t="str">
        <f aca="false">IF(A132&gt;$B$7,"",$B$8)</f>
        <v/>
      </c>
      <c r="E132" s="19" t="n">
        <f aca="false">IF(A132&gt;$B$7,0,IF(ABS(B132+C132-D132)&lt;0.005,0,B132+C132-D132))</f>
        <v>0</v>
      </c>
      <c r="F132" s="43" t="str">
        <f aca="false">IF(A132&gt;$B$12,"",IF(A132=1,$B$9,H131))</f>
        <v/>
      </c>
      <c r="G132" s="43" t="str">
        <f aca="false">IF(A132&gt;$B$12,"",$B$13*(1+$B$11)^(A132-1))</f>
        <v/>
      </c>
      <c r="H132" s="19" t="n">
        <f aca="false">IF(A132&gt;$B$12,0,IF(ABS(F132*(1+$B$10)-G132)&lt;0.005,0,F132*(1+$B$10)-G132))</f>
        <v>0</v>
      </c>
      <c r="I132" s="43" t="n">
        <f aca="false">IF(A132&gt;$B$7,I131,I131*(1+$B$6)+$B$8)</f>
        <v>32695.6526290079</v>
      </c>
    </row>
    <row r="133" customFormat="false" ht="15" hidden="false" customHeight="false" outlineLevel="0" collapsed="false">
      <c r="A133" s="13" t="n">
        <v>117</v>
      </c>
      <c r="B133" s="43" t="str">
        <f aca="false">IF(A133&gt;$B$7,"",IF(A133=1,$B$5,E132))</f>
        <v/>
      </c>
      <c r="C133" s="43" t="str">
        <f aca="false">IF(A133&gt;$B$7,"",B133*$B$6)</f>
        <v/>
      </c>
      <c r="D133" s="43" t="str">
        <f aca="false">IF(A133&gt;$B$7,"",$B$8)</f>
        <v/>
      </c>
      <c r="E133" s="19" t="n">
        <f aca="false">IF(A133&gt;$B$7,0,IF(ABS(B133+C133-D133)&lt;0.005,0,B133+C133-D133))</f>
        <v>0</v>
      </c>
      <c r="F133" s="43" t="str">
        <f aca="false">IF(A133&gt;$B$12,"",IF(A133=1,$B$9,H132))</f>
        <v/>
      </c>
      <c r="G133" s="43" t="str">
        <f aca="false">IF(A133&gt;$B$12,"",$B$13*(1+$B$11)^(A133-1))</f>
        <v/>
      </c>
      <c r="H133" s="19" t="n">
        <f aca="false">IF(A133&gt;$B$12,0,IF(ABS(F133*(1+$B$10)-G133)&lt;0.005,0,F133*(1+$B$10)-G133))</f>
        <v>0</v>
      </c>
      <c r="I133" s="43" t="n">
        <f aca="false">IF(A133&gt;$B$7,I132,I132*(1+$B$6)+$B$8)</f>
        <v>32695.6526290079</v>
      </c>
    </row>
    <row r="134" customFormat="false" ht="15" hidden="false" customHeight="false" outlineLevel="0" collapsed="false">
      <c r="A134" s="13" t="n">
        <v>118</v>
      </c>
      <c r="B134" s="43" t="str">
        <f aca="false">IF(A134&gt;$B$7,"",IF(A134=1,$B$5,E133))</f>
        <v/>
      </c>
      <c r="C134" s="43" t="str">
        <f aca="false">IF(A134&gt;$B$7,"",B134*$B$6)</f>
        <v/>
      </c>
      <c r="D134" s="43" t="str">
        <f aca="false">IF(A134&gt;$B$7,"",$B$8)</f>
        <v/>
      </c>
      <c r="E134" s="19" t="n">
        <f aca="false">IF(A134&gt;$B$7,0,IF(ABS(B134+C134-D134)&lt;0.005,0,B134+C134-D134))</f>
        <v>0</v>
      </c>
      <c r="F134" s="43" t="str">
        <f aca="false">IF(A134&gt;$B$12,"",IF(A134=1,$B$9,H133))</f>
        <v/>
      </c>
      <c r="G134" s="43" t="str">
        <f aca="false">IF(A134&gt;$B$12,"",$B$13*(1+$B$11)^(A134-1))</f>
        <v/>
      </c>
      <c r="H134" s="19" t="n">
        <f aca="false">IF(A134&gt;$B$12,0,IF(ABS(F134*(1+$B$10)-G134)&lt;0.005,0,F134*(1+$B$10)-G134))</f>
        <v>0</v>
      </c>
      <c r="I134" s="43" t="n">
        <f aca="false">IF(A134&gt;$B$7,I133,I133*(1+$B$6)+$B$8)</f>
        <v>32695.6526290079</v>
      </c>
    </row>
    <row r="135" customFormat="false" ht="15" hidden="false" customHeight="false" outlineLevel="0" collapsed="false">
      <c r="A135" s="13" t="n">
        <v>119</v>
      </c>
      <c r="B135" s="43" t="str">
        <f aca="false">IF(A135&gt;$B$7,"",IF(A135=1,$B$5,E134))</f>
        <v/>
      </c>
      <c r="C135" s="43" t="str">
        <f aca="false">IF(A135&gt;$B$7,"",B135*$B$6)</f>
        <v/>
      </c>
      <c r="D135" s="43" t="str">
        <f aca="false">IF(A135&gt;$B$7,"",$B$8)</f>
        <v/>
      </c>
      <c r="E135" s="19" t="n">
        <f aca="false">IF(A135&gt;$B$7,0,IF(ABS(B135+C135-D135)&lt;0.005,0,B135+C135-D135))</f>
        <v>0</v>
      </c>
      <c r="F135" s="43" t="str">
        <f aca="false">IF(A135&gt;$B$12,"",IF(A135=1,$B$9,H134))</f>
        <v/>
      </c>
      <c r="G135" s="43" t="str">
        <f aca="false">IF(A135&gt;$B$12,"",$B$13*(1+$B$11)^(A135-1))</f>
        <v/>
      </c>
      <c r="H135" s="19" t="n">
        <f aca="false">IF(A135&gt;$B$12,0,IF(ABS(F135*(1+$B$10)-G135)&lt;0.005,0,F135*(1+$B$10)-G135))</f>
        <v>0</v>
      </c>
      <c r="I135" s="43" t="n">
        <f aca="false">IF(A135&gt;$B$7,I134,I134*(1+$B$6)+$B$8)</f>
        <v>32695.6526290079</v>
      </c>
    </row>
    <row r="136" customFormat="false" ht="15" hidden="false" customHeight="false" outlineLevel="0" collapsed="false">
      <c r="A136" s="13" t="n">
        <v>120</v>
      </c>
      <c r="B136" s="43" t="str">
        <f aca="false">IF(A136&gt;$B$7,"",IF(A136=1,$B$5,E135))</f>
        <v/>
      </c>
      <c r="C136" s="43" t="str">
        <f aca="false">IF(A136&gt;$B$7,"",B136*$B$6)</f>
        <v/>
      </c>
      <c r="D136" s="43" t="str">
        <f aca="false">IF(A136&gt;$B$7,"",$B$8)</f>
        <v/>
      </c>
      <c r="E136" s="19" t="n">
        <f aca="false">IF(A136&gt;$B$7,0,IF(ABS(B136+C136-D136)&lt;0.005,0,B136+C136-D136))</f>
        <v>0</v>
      </c>
      <c r="F136" s="43" t="str">
        <f aca="false">IF(A136&gt;$B$12,"",IF(A136=1,$B$9,H135))</f>
        <v/>
      </c>
      <c r="G136" s="43" t="str">
        <f aca="false">IF(A136&gt;$B$12,"",$B$13*(1+$B$11)^(A136-1))</f>
        <v/>
      </c>
      <c r="H136" s="19" t="n">
        <f aca="false">IF(A136&gt;$B$12,0,IF(ABS(F136*(1+$B$10)-G136)&lt;0.005,0,F136*(1+$B$10)-G136))</f>
        <v>0</v>
      </c>
      <c r="I136" s="43" t="n">
        <f aca="false">IF(A136&gt;$B$7,I135,I135*(1+$B$6)+$B$8)</f>
        <v>32695.6526290079</v>
      </c>
    </row>
    <row r="137" customFormat="false" ht="15" hidden="false" customHeight="false" outlineLevel="0" collapsed="false">
      <c r="A137" s="16" t="s">
        <v>299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62728"/>
    <pageSetUpPr fitToPage="false"/>
  </sheetPr>
  <dimension ref="A1:F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4"/>
    <col collapsed="false" customWidth="true" hidden="false" outlineLevel="0" max="8" min="8" style="0" width="40"/>
  </cols>
  <sheetData>
    <row r="1" customFormat="false" ht="17.35" hidden="false" customHeight="false" outlineLevel="0" collapsed="false">
      <c r="A1" s="1" t="s">
        <v>300</v>
      </c>
    </row>
    <row r="2" customFormat="false" ht="15" hidden="false" customHeight="false" outlineLevel="0" collapsed="false">
      <c r="A2" s="2" t="s">
        <v>301</v>
      </c>
    </row>
    <row r="4" customFormat="false" ht="15" hidden="false" customHeight="false" outlineLevel="0" collapsed="false">
      <c r="A4" s="3" t="s">
        <v>302</v>
      </c>
      <c r="B4" s="4"/>
      <c r="C4" s="4"/>
      <c r="D4" s="4"/>
    </row>
    <row r="5" customFormat="false" ht="15" hidden="false" customHeight="false" outlineLevel="0" collapsed="false">
      <c r="A5" s="11" t="s">
        <v>96</v>
      </c>
      <c r="B5" s="11" t="s">
        <v>97</v>
      </c>
      <c r="C5" s="11" t="s">
        <v>98</v>
      </c>
      <c r="D5" s="11" t="s">
        <v>99</v>
      </c>
    </row>
    <row r="6" customFormat="false" ht="15" hidden="false" customHeight="false" outlineLevel="0" collapsed="false">
      <c r="A6" s="12" t="s">
        <v>100</v>
      </c>
      <c r="B6" s="15" t="s">
        <v>303</v>
      </c>
    </row>
    <row r="7" customFormat="false" ht="15" hidden="false" customHeight="false" outlineLevel="0" collapsed="false">
      <c r="A7" s="17" t="s">
        <v>304</v>
      </c>
      <c r="B7" s="20" t="n">
        <v>0.18</v>
      </c>
      <c r="C7" s="21" t="n">
        <f aca="false">IF($B$6="APR",B9*((1+B8)^(1/B9)-1),B7)</f>
        <v>0.18</v>
      </c>
      <c r="D7" s="6" t="s">
        <v>305</v>
      </c>
    </row>
    <row r="8" customFormat="false" ht="15" hidden="false" customHeight="false" outlineLevel="0" collapsed="false">
      <c r="A8" s="17" t="s">
        <v>306</v>
      </c>
      <c r="B8" s="20"/>
      <c r="C8" s="21" t="n">
        <f aca="false">IF($B$6="EAR",(1+B7/B9)^B9-1,B8)</f>
        <v>0.195618171461534</v>
      </c>
      <c r="D8" s="6" t="s">
        <v>70</v>
      </c>
    </row>
    <row r="9" customFormat="false" ht="35.05" hidden="false" customHeight="false" outlineLevel="0" collapsed="false">
      <c r="A9" s="17" t="s">
        <v>307</v>
      </c>
      <c r="B9" s="38" t="n">
        <v>12</v>
      </c>
      <c r="C9" s="44" t="n">
        <f aca="false">B9</f>
        <v>12</v>
      </c>
      <c r="D9" s="6" t="s">
        <v>308</v>
      </c>
    </row>
    <row r="10" customFormat="false" ht="35.05" hidden="false" customHeight="false" outlineLevel="0" collapsed="false">
      <c r="A10" s="17" t="s">
        <v>309</v>
      </c>
      <c r="B10" s="45" t="n">
        <f aca="false">C7/C9</f>
        <v>0.015</v>
      </c>
      <c r="D10" s="6" t="s">
        <v>310</v>
      </c>
    </row>
    <row r="11" customFormat="false" ht="15" hidden="false" customHeight="false" outlineLevel="0" collapsed="false">
      <c r="A11" s="12" t="s">
        <v>111</v>
      </c>
      <c r="B11" s="22" t="str">
        <f aca="false">IF($B$6="EAR",TEXT(C8,"0.00%"),TEXT(C7,"0.00%"))</f>
        <v>19.56%</v>
      </c>
      <c r="D11" s="23" t="str">
        <f aca="false">"Solved for "&amp;$B$6</f>
        <v>Solved for EAR</v>
      </c>
    </row>
    <row r="12" customFormat="false" ht="23.85" hidden="false" customHeight="false" outlineLevel="0" collapsed="false">
      <c r="A12" s="17" t="s">
        <v>112</v>
      </c>
      <c r="B12" s="21" t="n">
        <f aca="false">IF($B$6="EAR",EFFECT(B7,B9),NOMINAL(B8,B9))</f>
        <v>0.195618171461534</v>
      </c>
      <c r="D12" s="6" t="s">
        <v>311</v>
      </c>
    </row>
    <row r="13" customFormat="false" ht="35.05" hidden="false" customHeight="false" outlineLevel="0" collapsed="false">
      <c r="A13" s="17" t="s">
        <v>312</v>
      </c>
      <c r="B13" s="45" t="n">
        <f aca="false">IF($B$6="EAR",EXP(B7)-1,LN(1+B8))</f>
        <v>0.19721736312181</v>
      </c>
      <c r="D13" s="6" t="s">
        <v>313</v>
      </c>
    </row>
    <row r="14" customFormat="false" ht="15" hidden="false" customHeight="false" outlineLevel="0" collapsed="false">
      <c r="A14" s="16" t="s">
        <v>314</v>
      </c>
    </row>
    <row r="16" customFormat="false" ht="15" hidden="false" customHeight="false" outlineLevel="0" collapsed="false">
      <c r="A16" s="3" t="s">
        <v>315</v>
      </c>
      <c r="B16" s="4"/>
      <c r="C16" s="4"/>
      <c r="D16" s="4"/>
      <c r="E16" s="4"/>
      <c r="F16" s="4"/>
    </row>
    <row r="17" customFormat="false" ht="15" hidden="false" customHeight="false" outlineLevel="0" collapsed="false">
      <c r="A17" s="17" t="s">
        <v>316</v>
      </c>
      <c r="B17" s="20" t="n">
        <v>0.1</v>
      </c>
    </row>
    <row r="18" customFormat="false" ht="15" hidden="false" customHeight="false" outlineLevel="0" collapsed="false">
      <c r="A18" s="11" t="s">
        <v>317</v>
      </c>
      <c r="B18" s="11" t="s">
        <v>318</v>
      </c>
      <c r="C18" s="11" t="s">
        <v>319</v>
      </c>
      <c r="D18" s="11" t="s">
        <v>320</v>
      </c>
      <c r="E18" s="11" t="s">
        <v>11</v>
      </c>
      <c r="F18" s="11" t="s">
        <v>130</v>
      </c>
    </row>
    <row r="19" customFormat="false" ht="15" hidden="false" customHeight="false" outlineLevel="0" collapsed="false">
      <c r="A19" s="17" t="s">
        <v>321</v>
      </c>
      <c r="B19" s="38" t="n">
        <v>1</v>
      </c>
      <c r="C19" s="45" t="n">
        <f aca="false">$B$17/B19</f>
        <v>0.1</v>
      </c>
      <c r="D19" s="46" t="n">
        <f aca="false">(1+C19)^B19-1</f>
        <v>0.1</v>
      </c>
      <c r="E19" s="47" t="n">
        <v>0.1</v>
      </c>
      <c r="F19" s="25" t="str">
        <f aca="false">IF(ABS(D19-E19)&lt;0.0001,"✓","✗")</f>
        <v>✓</v>
      </c>
    </row>
    <row r="20" customFormat="false" ht="15" hidden="false" customHeight="false" outlineLevel="0" collapsed="false">
      <c r="A20" s="17" t="s">
        <v>322</v>
      </c>
      <c r="B20" s="38" t="n">
        <v>2</v>
      </c>
      <c r="C20" s="45" t="n">
        <f aca="false">$B$17/B20</f>
        <v>0.05</v>
      </c>
      <c r="D20" s="46" t="n">
        <f aca="false">(1+C20)^B20-1</f>
        <v>0.1025</v>
      </c>
      <c r="E20" s="47" t="n">
        <v>0.1025</v>
      </c>
      <c r="F20" s="25" t="str">
        <f aca="false">IF(ABS(D20-E20)&lt;0.0001,"✓","✗")</f>
        <v>✓</v>
      </c>
    </row>
    <row r="21" customFormat="false" ht="15" hidden="false" customHeight="false" outlineLevel="0" collapsed="false">
      <c r="A21" s="17" t="s">
        <v>323</v>
      </c>
      <c r="B21" s="38" t="n">
        <v>4</v>
      </c>
      <c r="C21" s="45" t="n">
        <f aca="false">$B$17/B21</f>
        <v>0.025</v>
      </c>
      <c r="D21" s="46" t="n">
        <f aca="false">(1+C21)^B21-1</f>
        <v>0.103812890625</v>
      </c>
      <c r="E21" s="47" t="n">
        <v>0.1038</v>
      </c>
      <c r="F21" s="25" t="str">
        <f aca="false">IF(ABS(D21-E21)&lt;0.0001,"✓","✗")</f>
        <v>✓</v>
      </c>
    </row>
    <row r="22" customFormat="false" ht="15" hidden="false" customHeight="false" outlineLevel="0" collapsed="false">
      <c r="A22" s="17" t="s">
        <v>324</v>
      </c>
      <c r="B22" s="38" t="n">
        <v>12</v>
      </c>
      <c r="C22" s="45" t="n">
        <f aca="false">$B$17/B22</f>
        <v>0.00833333333333333</v>
      </c>
      <c r="D22" s="46" t="n">
        <f aca="false">(1+C22)^B22-1</f>
        <v>0.104713067441297</v>
      </c>
      <c r="E22" s="47" t="n">
        <v>0.1047</v>
      </c>
      <c r="F22" s="25" t="str">
        <f aca="false">IF(ABS(D22-E22)&lt;0.0001,"✓","✗")</f>
        <v>✓</v>
      </c>
    </row>
    <row r="23" customFormat="false" ht="15" hidden="false" customHeight="false" outlineLevel="0" collapsed="false">
      <c r="A23" s="17" t="s">
        <v>325</v>
      </c>
      <c r="B23" s="38" t="n">
        <v>52</v>
      </c>
      <c r="C23" s="45" t="n">
        <f aca="false">$B$17/B23</f>
        <v>0.00192307692307692</v>
      </c>
      <c r="D23" s="46" t="n">
        <f aca="false">(1+C23)^B23-1</f>
        <v>0.105064792779766</v>
      </c>
      <c r="E23" s="47" t="n">
        <v>0.1051</v>
      </c>
      <c r="F23" s="25" t="str">
        <f aca="false">IF(ABS(D23-E23)&lt;0.0001,"✓","✗")</f>
        <v>✓</v>
      </c>
    </row>
    <row r="24" customFormat="false" ht="15" hidden="false" customHeight="false" outlineLevel="0" collapsed="false">
      <c r="A24" s="17" t="s">
        <v>326</v>
      </c>
      <c r="B24" s="38" t="n">
        <v>365</v>
      </c>
      <c r="C24" s="45" t="n">
        <f aca="false">$B$17/B24</f>
        <v>0.000273972602739726</v>
      </c>
      <c r="D24" s="46" t="n">
        <f aca="false">(1+C24)^B24-1</f>
        <v>0.105155781616233</v>
      </c>
      <c r="E24" s="47" t="n">
        <v>0.10516</v>
      </c>
      <c r="F24" s="25" t="str">
        <f aca="false">IF(ABS(D24-E24)&lt;0.0001,"✓","✗")</f>
        <v>✓</v>
      </c>
    </row>
    <row r="25" customFormat="false" ht="15" hidden="false" customHeight="false" outlineLevel="0" collapsed="false">
      <c r="A25" s="17" t="s">
        <v>327</v>
      </c>
      <c r="B25" s="13" t="s">
        <v>328</v>
      </c>
      <c r="C25" s="48" t="s">
        <v>329</v>
      </c>
      <c r="D25" s="46" t="n">
        <f aca="false">EXP($B$17)-1</f>
        <v>0.105170918075648</v>
      </c>
      <c r="E25" s="47" t="n">
        <v>0.10517</v>
      </c>
      <c r="F25" s="25" t="str">
        <f aca="false">IF(ABS(D25-E25)&lt;0.0001,"✓","✗")</f>
        <v>✓</v>
      </c>
    </row>
    <row r="26" customFormat="false" ht="15" hidden="false" customHeight="false" outlineLevel="0" collapsed="false">
      <c r="A26" s="16" t="s">
        <v>330</v>
      </c>
    </row>
    <row r="28" customFormat="false" ht="15" hidden="false" customHeight="false" outlineLevel="0" collapsed="false">
      <c r="A28" s="3" t="s">
        <v>331</v>
      </c>
      <c r="B28" s="4"/>
      <c r="C28" s="4"/>
      <c r="D28" s="4"/>
    </row>
    <row r="29" customFormat="false" ht="15" hidden="false" customHeight="true" outlineLevel="0" collapsed="false">
      <c r="A29" s="17" t="s">
        <v>332</v>
      </c>
      <c r="B29" s="18" t="n">
        <v>100</v>
      </c>
      <c r="D29" s="6" t="s">
        <v>333</v>
      </c>
    </row>
    <row r="30" customFormat="false" ht="15" hidden="false" customHeight="false" outlineLevel="0" collapsed="false">
      <c r="A30" s="17" t="s">
        <v>316</v>
      </c>
      <c r="B30" s="20" t="n">
        <v>0.1</v>
      </c>
      <c r="D30" s="6"/>
    </row>
    <row r="31" customFormat="false" ht="15" hidden="false" customHeight="false" outlineLevel="0" collapsed="false">
      <c r="A31" s="17" t="s">
        <v>307</v>
      </c>
      <c r="B31" s="38" t="n">
        <v>2</v>
      </c>
      <c r="D31" s="6"/>
    </row>
    <row r="32" customFormat="false" ht="15" hidden="false" customHeight="false" outlineLevel="0" collapsed="false">
      <c r="A32" s="17" t="s">
        <v>334</v>
      </c>
      <c r="B32" s="18" t="n">
        <v>20</v>
      </c>
      <c r="D32" s="6"/>
    </row>
    <row r="33" customFormat="false" ht="15" hidden="false" customHeight="false" outlineLevel="0" collapsed="false">
      <c r="A33" s="17" t="s">
        <v>335</v>
      </c>
      <c r="B33" s="45" t="n">
        <f aca="false">(1+B30/B31)^B31-1</f>
        <v>0.1025</v>
      </c>
      <c r="D33" s="6"/>
    </row>
    <row r="34" customFormat="false" ht="15" hidden="false" customHeight="false" outlineLevel="0" collapsed="false">
      <c r="A34" s="17" t="s">
        <v>336</v>
      </c>
      <c r="B34" s="30" t="n">
        <f aca="false">B29*(1+B33)^B32</f>
        <v>703.998871212465</v>
      </c>
    </row>
    <row r="35" customFormat="false" ht="15" hidden="false" customHeight="false" outlineLevel="0" collapsed="false">
      <c r="A35" s="17" t="s">
        <v>337</v>
      </c>
      <c r="B35" s="30" t="n">
        <f aca="false">B29*(1+B30/B31)^(B32*B31)</f>
        <v>703.998871212466</v>
      </c>
      <c r="C35" s="23" t="str">
        <f aca="false">IF(ABS(B35-B34)&lt;0.000001*MAX(1,ABS(B34)),"✓ same answer","✗")</f>
        <v>✓ same answer</v>
      </c>
    </row>
    <row r="36" customFormat="false" ht="15" hidden="false" customHeight="false" outlineLevel="0" collapsed="false">
      <c r="A36" s="17" t="s">
        <v>338</v>
      </c>
      <c r="B36" s="30" t="n">
        <f aca="false">B29*EXP(B30*B32)</f>
        <v>738.905609893065</v>
      </c>
    </row>
    <row r="37" customFormat="false" ht="15" hidden="false" customHeight="false" outlineLevel="0" collapsed="false">
      <c r="A37" s="17" t="s">
        <v>339</v>
      </c>
      <c r="B37" s="19" t="n">
        <f aca="false">B29*(1+B30)^B32</f>
        <v>672.749994932561</v>
      </c>
    </row>
    <row r="38" customFormat="false" ht="15" hidden="false" customHeight="false" outlineLevel="0" collapsed="false">
      <c r="A38" s="17" t="s">
        <v>340</v>
      </c>
      <c r="B38" s="19" t="n">
        <f aca="false">B36-B37</f>
        <v>66.155614960504</v>
      </c>
    </row>
    <row r="40" customFormat="false" ht="15" hidden="false" customHeight="false" outlineLevel="0" collapsed="false">
      <c r="A40" s="3" t="s">
        <v>341</v>
      </c>
      <c r="B40" s="4"/>
      <c r="C40" s="4"/>
      <c r="D40" s="4"/>
      <c r="E40" s="4"/>
    </row>
    <row r="41" customFormat="false" ht="15" hidden="false" customHeight="false" outlineLevel="0" collapsed="false">
      <c r="A41" s="11" t="s">
        <v>156</v>
      </c>
      <c r="B41" s="11" t="s">
        <v>342</v>
      </c>
      <c r="C41" s="11" t="s">
        <v>343</v>
      </c>
      <c r="D41" s="11" t="s">
        <v>344</v>
      </c>
      <c r="E41" s="11" t="s">
        <v>345</v>
      </c>
    </row>
    <row r="42" customFormat="false" ht="15" hidden="false" customHeight="false" outlineLevel="0" collapsed="false">
      <c r="A42" s="13" t="n">
        <v>0</v>
      </c>
      <c r="B42" s="19" t="n">
        <f aca="false">$B$29*(1+$B$30/1)^(A42*1)</f>
        <v>100</v>
      </c>
      <c r="C42" s="19" t="n">
        <f aca="false">$B$29*(1+$B$30/2)^(A42*2)</f>
        <v>100</v>
      </c>
      <c r="D42" s="19" t="n">
        <f aca="false">$B$29*(1+$B$30/12)^(A42*12)</f>
        <v>100</v>
      </c>
      <c r="E42" s="19" t="n">
        <f aca="false">$B$29*EXP($B$30*A42)</f>
        <v>100</v>
      </c>
    </row>
    <row r="43" customFormat="false" ht="15" hidden="false" customHeight="false" outlineLevel="0" collapsed="false">
      <c r="A43" s="13" t="n">
        <v>1</v>
      </c>
      <c r="B43" s="19" t="n">
        <f aca="false">$B$29*(1+$B$30/1)^(A43*1)</f>
        <v>110</v>
      </c>
      <c r="C43" s="19" t="n">
        <f aca="false">$B$29*(1+$B$30/2)^(A43*2)</f>
        <v>110.25</v>
      </c>
      <c r="D43" s="19" t="n">
        <f aca="false">$B$29*(1+$B$30/12)^(A43*12)</f>
        <v>110.47130674413</v>
      </c>
      <c r="E43" s="19" t="n">
        <f aca="false">$B$29*EXP($B$30*A43)</f>
        <v>110.517091807565</v>
      </c>
    </row>
    <row r="44" customFormat="false" ht="15" hidden="false" customHeight="false" outlineLevel="0" collapsed="false">
      <c r="A44" s="13" t="n">
        <v>2</v>
      </c>
      <c r="B44" s="19" t="n">
        <f aca="false">$B$29*(1+$B$30/1)^(A44*1)</f>
        <v>121</v>
      </c>
      <c r="C44" s="19" t="n">
        <f aca="false">$B$29*(1+$B$30/2)^(A44*2)</f>
        <v>121.550625</v>
      </c>
      <c r="D44" s="19" t="n">
        <f aca="false">$B$29*(1+$B$30/12)^(A44*12)</f>
        <v>122.039096137556</v>
      </c>
      <c r="E44" s="19" t="n">
        <f aca="false">$B$29*EXP($B$30*A44)</f>
        <v>122.140275816017</v>
      </c>
    </row>
    <row r="45" customFormat="false" ht="15" hidden="false" customHeight="false" outlineLevel="0" collapsed="false">
      <c r="A45" s="13" t="n">
        <v>3</v>
      </c>
      <c r="B45" s="19" t="n">
        <f aca="false">$B$29*(1+$B$30/1)^(A45*1)</f>
        <v>133.1</v>
      </c>
      <c r="C45" s="19" t="n">
        <f aca="false">$B$29*(1+$B$30/2)^(A45*2)</f>
        <v>134.0095640625</v>
      </c>
      <c r="D45" s="19" t="n">
        <f aca="false">$B$29*(1+$B$30/12)^(A45*12)</f>
        <v>134.818184241883</v>
      </c>
      <c r="E45" s="19" t="n">
        <f aca="false">$B$29*EXP($B$30*A45)</f>
        <v>134.9858807576</v>
      </c>
    </row>
    <row r="46" customFormat="false" ht="15" hidden="false" customHeight="false" outlineLevel="0" collapsed="false">
      <c r="A46" s="13" t="n">
        <v>4</v>
      </c>
      <c r="B46" s="19" t="n">
        <f aca="false">$B$29*(1+$B$30/1)^(A46*1)</f>
        <v>146.41</v>
      </c>
      <c r="C46" s="19" t="n">
        <f aca="false">$B$29*(1+$B$30/2)^(A46*2)</f>
        <v>147.745544378906</v>
      </c>
      <c r="D46" s="19" t="n">
        <f aca="false">$B$29*(1+$B$30/12)^(A46*12)</f>
        <v>148.935409860716</v>
      </c>
      <c r="E46" s="19" t="n">
        <f aca="false">$B$29*EXP($B$30*A46)</f>
        <v>149.182469764127</v>
      </c>
    </row>
    <row r="47" customFormat="false" ht="15" hidden="false" customHeight="false" outlineLevel="0" collapsed="false">
      <c r="A47" s="13" t="n">
        <v>5</v>
      </c>
      <c r="B47" s="19" t="n">
        <f aca="false">$B$29*(1+$B$30/1)^(A47*1)</f>
        <v>161.051</v>
      </c>
      <c r="C47" s="19" t="n">
        <f aca="false">$B$29*(1+$B$30/2)^(A47*2)</f>
        <v>162.889462677744</v>
      </c>
      <c r="D47" s="19" t="n">
        <f aca="false">$B$29*(1+$B$30/12)^(A47*12)</f>
        <v>164.530893477859</v>
      </c>
      <c r="E47" s="19" t="n">
        <f aca="false">$B$29*EXP($B$30*A47)</f>
        <v>164.872127070013</v>
      </c>
    </row>
    <row r="48" customFormat="false" ht="15" hidden="false" customHeight="false" outlineLevel="0" collapsed="false">
      <c r="A48" s="13" t="n">
        <v>6</v>
      </c>
      <c r="B48" s="19" t="n">
        <f aca="false">$B$29*(1+$B$30/1)^(A48*1)</f>
        <v>177.1561</v>
      </c>
      <c r="C48" s="19" t="n">
        <f aca="false">$B$29*(1+$B$30/2)^(A48*2)</f>
        <v>179.585632602213</v>
      </c>
      <c r="D48" s="19" t="n">
        <f aca="false">$B$29*(1+$B$30/12)^(A48*12)</f>
        <v>181.759428022782</v>
      </c>
      <c r="E48" s="19" t="n">
        <f aca="false">$B$29*EXP($B$30*A48)</f>
        <v>182.211880039051</v>
      </c>
    </row>
    <row r="49" customFormat="false" ht="15" hidden="false" customHeight="false" outlineLevel="0" collapsed="false">
      <c r="A49" s="13" t="n">
        <v>7</v>
      </c>
      <c r="B49" s="19" t="n">
        <f aca="false">$B$29*(1+$B$30/1)^(A49*1)</f>
        <v>194.87171</v>
      </c>
      <c r="C49" s="19" t="n">
        <f aca="false">$B$29*(1+$B$30/2)^(A49*2)</f>
        <v>197.99315994394</v>
      </c>
      <c r="D49" s="19" t="n">
        <f aca="false">$B$29*(1+$B$30/12)^(A49*12)</f>
        <v>200.792015267424</v>
      </c>
      <c r="E49" s="19" t="n">
        <f aca="false">$B$29*EXP($B$30*A49)</f>
        <v>201.375270747048</v>
      </c>
    </row>
    <row r="50" customFormat="false" ht="15" hidden="false" customHeight="false" outlineLevel="0" collapsed="false">
      <c r="A50" s="13" t="n">
        <v>8</v>
      </c>
      <c r="B50" s="19" t="n">
        <f aca="false">$B$29*(1+$B$30/1)^(A50*1)</f>
        <v>214.358881</v>
      </c>
      <c r="C50" s="19" t="n">
        <f aca="false">$B$29*(1+$B$30/2)^(A50*2)</f>
        <v>218.287458838194</v>
      </c>
      <c r="D50" s="19" t="n">
        <f aca="false">$B$29*(1+$B$30/12)^(A50*12)</f>
        <v>221.817563103795</v>
      </c>
      <c r="E50" s="19" t="n">
        <f aca="false">$B$29*EXP($B$30*A50)</f>
        <v>222.554092849247</v>
      </c>
    </row>
    <row r="51" customFormat="false" ht="15" hidden="false" customHeight="false" outlineLevel="0" collapsed="false">
      <c r="A51" s="13" t="n">
        <v>9</v>
      </c>
      <c r="B51" s="19" t="n">
        <f aca="false">$B$29*(1+$B$30/1)^(A51*1)</f>
        <v>235.7947691</v>
      </c>
      <c r="C51" s="19" t="n">
        <f aca="false">$B$29*(1+$B$30/2)^(A51*2)</f>
        <v>240.661923369109</v>
      </c>
      <c r="D51" s="19" t="n">
        <f aca="false">$B$29*(1+$B$30/12)^(A51*12)</f>
        <v>245.044760548747</v>
      </c>
      <c r="E51" s="19" t="n">
        <f aca="false">$B$29*EXP($B$30*A51)</f>
        <v>245.960311115695</v>
      </c>
    </row>
    <row r="52" customFormat="false" ht="15" hidden="false" customHeight="false" outlineLevel="0" collapsed="false">
      <c r="A52" s="13" t="n">
        <v>10</v>
      </c>
      <c r="B52" s="19" t="n">
        <f aca="false">$B$29*(1+$B$30/1)^(A52*1)</f>
        <v>259.37424601</v>
      </c>
      <c r="C52" s="19" t="n">
        <f aca="false">$B$29*(1+$B$30/2)^(A52*2)</f>
        <v>265.329770514442</v>
      </c>
      <c r="D52" s="19" t="n">
        <f aca="false">$B$29*(1+$B$30/12)^(A52*12)</f>
        <v>270.704149086224</v>
      </c>
      <c r="E52" s="19" t="n">
        <f aca="false">$B$29*EXP($B$30*A52)</f>
        <v>271.828182845905</v>
      </c>
    </row>
    <row r="53" customFormat="false" ht="15" hidden="false" customHeight="false" outlineLevel="0" collapsed="false">
      <c r="A53" s="13" t="n">
        <v>11</v>
      </c>
      <c r="B53" s="19" t="n">
        <f aca="false">$B$29*(1+$B$30/1)^(A53*1)</f>
        <v>285.311670611</v>
      </c>
      <c r="C53" s="19" t="n">
        <f aca="false">$B$29*(1+$B$30/2)^(A53*2)</f>
        <v>292.526071992173</v>
      </c>
      <c r="D53" s="19" t="n">
        <f aca="false">$B$29*(1+$B$30/12)^(A53*12)</f>
        <v>299.050410906129</v>
      </c>
      <c r="E53" s="19" t="n">
        <f aca="false">$B$29*EXP($B$30*A53)</f>
        <v>300.416602394643</v>
      </c>
    </row>
    <row r="54" customFormat="false" ht="15" hidden="false" customHeight="false" outlineLevel="0" collapsed="false">
      <c r="A54" s="13" t="n">
        <v>12</v>
      </c>
      <c r="B54" s="19" t="n">
        <f aca="false">$B$29*(1+$B$30/1)^(A54*1)</f>
        <v>313.8428376721</v>
      </c>
      <c r="C54" s="19" t="n">
        <f aca="false">$B$29*(1+$B$30/2)^(A54*2)</f>
        <v>322.50999437137</v>
      </c>
      <c r="D54" s="19" t="n">
        <f aca="false">$B$29*(1+$B$30/12)^(A54*12)</f>
        <v>330.36489675169</v>
      </c>
      <c r="E54" s="19" t="n">
        <f aca="false">$B$29*EXP($B$30*A54)</f>
        <v>332.011692273655</v>
      </c>
    </row>
    <row r="55" customFormat="false" ht="15" hidden="false" customHeight="false" outlineLevel="0" collapsed="false">
      <c r="A55" s="13" t="n">
        <v>13</v>
      </c>
      <c r="B55" s="19" t="n">
        <f aca="false">$B$29*(1+$B$30/1)^(A55*1)</f>
        <v>345.22712143931</v>
      </c>
      <c r="C55" s="19" t="n">
        <f aca="false">$B$29*(1+$B$30/2)^(A55*2)</f>
        <v>355.567268794436</v>
      </c>
      <c r="D55" s="19" t="n">
        <f aca="false">$B$29*(1+$B$30/12)^(A55*12)</f>
        <v>364.958418465487</v>
      </c>
      <c r="E55" s="19" t="n">
        <f aca="false">$B$29*EXP($B$30*A55)</f>
        <v>366.929666761924</v>
      </c>
    </row>
    <row r="56" customFormat="false" ht="15" hidden="false" customHeight="false" outlineLevel="0" collapsed="false">
      <c r="A56" s="13" t="n">
        <v>14</v>
      </c>
      <c r="B56" s="19" t="n">
        <f aca="false">$B$29*(1+$B$30/1)^(A56*1)</f>
        <v>379.749833583241</v>
      </c>
      <c r="C56" s="19" t="n">
        <f aca="false">$B$29*(1+$B$30/2)^(A56*2)</f>
        <v>392.012913845866</v>
      </c>
      <c r="D56" s="19" t="n">
        <f aca="false">$B$29*(1+$B$30/12)^(A56*12)</f>
        <v>403.174333951532</v>
      </c>
      <c r="E56" s="19" t="n">
        <f aca="false">$B$29*EXP($B$30*A56)</f>
        <v>405.519996684468</v>
      </c>
    </row>
    <row r="57" customFormat="false" ht="15" hidden="false" customHeight="false" outlineLevel="0" collapsed="false">
      <c r="A57" s="13" t="n">
        <v>15</v>
      </c>
      <c r="B57" s="19" t="n">
        <f aca="false">$B$29*(1+$B$30/1)^(A57*1)</f>
        <v>417.724816941566</v>
      </c>
      <c r="C57" s="19" t="n">
        <f aca="false">$B$29*(1+$B$30/2)^(A57*2)</f>
        <v>432.194237515067</v>
      </c>
      <c r="D57" s="19" t="n">
        <f aca="false">$B$29*(1+$B$30/12)^(A57*12)</f>
        <v>445.391955173199</v>
      </c>
      <c r="E57" s="19" t="n">
        <f aca="false">$B$29*EXP($B$30*A57)</f>
        <v>448.168907033807</v>
      </c>
    </row>
    <row r="58" customFormat="false" ht="15" hidden="false" customHeight="false" outlineLevel="0" collapsed="false">
      <c r="A58" s="13" t="n">
        <v>16</v>
      </c>
      <c r="B58" s="19" t="n">
        <f aca="false">$B$29*(1+$B$30/1)^(A58*1)</f>
        <v>459.497298635722</v>
      </c>
      <c r="C58" s="19" t="n">
        <f aca="false">$B$29*(1+$B$30/2)^(A58*2)</f>
        <v>476.494146860361</v>
      </c>
      <c r="D58" s="19" t="n">
        <f aca="false">$B$29*(1+$B$30/12)^(A58*12)</f>
        <v>492.030313013061</v>
      </c>
      <c r="E58" s="19" t="n">
        <f aca="false">$B$29*EXP($B$30*A58)</f>
        <v>495.303242439512</v>
      </c>
    </row>
    <row r="59" customFormat="false" ht="15" hidden="false" customHeight="false" outlineLevel="0" collapsed="false">
      <c r="A59" s="13" t="n">
        <v>17</v>
      </c>
      <c r="B59" s="19" t="n">
        <f aca="false">$B$29*(1+$B$30/1)^(A59*1)</f>
        <v>505.447028499295</v>
      </c>
      <c r="C59" s="19" t="n">
        <f aca="false">$B$29*(1+$B$30/2)^(A59*2)</f>
        <v>525.334796913548</v>
      </c>
      <c r="D59" s="19" t="n">
        <f aca="false">$B$29*(1+$B$30/12)^(A59*12)</f>
        <v>543.552316362761</v>
      </c>
      <c r="E59" s="19" t="n">
        <f aca="false">$B$29*EXP($B$30*A59)</f>
        <v>547.39473917272</v>
      </c>
    </row>
    <row r="60" customFormat="false" ht="15" hidden="false" customHeight="false" outlineLevel="0" collapsed="false">
      <c r="A60" s="13" t="n">
        <v>18</v>
      </c>
      <c r="B60" s="19" t="n">
        <f aca="false">$B$29*(1+$B$30/1)^(A60*1)</f>
        <v>555.991731349224</v>
      </c>
      <c r="C60" s="19" t="n">
        <f aca="false">$B$29*(1+$B$30/2)^(A60*2)</f>
        <v>579.181613597187</v>
      </c>
      <c r="D60" s="19" t="n">
        <f aca="false">$B$29*(1+$B$30/12)^(A60*12)</f>
        <v>600.469346723927</v>
      </c>
      <c r="E60" s="19" t="n">
        <f aca="false">$B$29*EXP($B$30*A60)</f>
        <v>604.964746441295</v>
      </c>
    </row>
    <row r="61" customFormat="false" ht="15" hidden="false" customHeight="false" outlineLevel="0" collapsed="false">
      <c r="A61" s="13" t="n">
        <v>19</v>
      </c>
      <c r="B61" s="19" t="n">
        <f aca="false">$B$29*(1+$B$30/1)^(A61*1)</f>
        <v>611.590904484146</v>
      </c>
      <c r="C61" s="19" t="n">
        <f aca="false">$B$29*(1+$B$30/2)^(A61*2)</f>
        <v>638.547728990899</v>
      </c>
      <c r="D61" s="19" t="n">
        <f aca="false">$B$29*(1+$B$30/12)^(A61*12)</f>
        <v>663.346333923862</v>
      </c>
      <c r="E61" s="19" t="n">
        <f aca="false">$B$29*EXP($B$30*A61)</f>
        <v>668.589444227927</v>
      </c>
    </row>
    <row r="62" customFormat="false" ht="15" hidden="false" customHeight="false" outlineLevel="0" collapsed="false">
      <c r="A62" s="13" t="n">
        <v>20</v>
      </c>
      <c r="B62" s="19" t="n">
        <f aca="false">$B$29*(1+$B$30/1)^(A62*1)</f>
        <v>672.749994932561</v>
      </c>
      <c r="C62" s="19" t="n">
        <f aca="false">$B$29*(1+$B$30/2)^(A62*2)</f>
        <v>703.998871212466</v>
      </c>
      <c r="D62" s="19" t="n">
        <f aca="false">$B$29*(1+$B$30/12)^(A62*12)</f>
        <v>732.807363324968</v>
      </c>
      <c r="E62" s="19" t="n">
        <f aca="false">$B$29*EXP($B$30*A62)</f>
        <v>738.905609893065</v>
      </c>
    </row>
    <row r="64" customFormat="false" ht="15" hidden="false" customHeight="false" outlineLevel="0" collapsed="false">
      <c r="A64" s="3" t="s">
        <v>346</v>
      </c>
      <c r="B64" s="4"/>
      <c r="C64" s="4"/>
      <c r="D64" s="4"/>
    </row>
    <row r="65" customFormat="false" ht="15" hidden="false" customHeight="false" outlineLevel="0" collapsed="false">
      <c r="A65" s="11" t="s">
        <v>347</v>
      </c>
      <c r="B65" s="11" t="s">
        <v>168</v>
      </c>
      <c r="C65" s="11" t="s">
        <v>11</v>
      </c>
      <c r="D65" s="11" t="s">
        <v>130</v>
      </c>
    </row>
    <row r="66" customFormat="false" ht="15" hidden="false" customHeight="false" outlineLevel="0" collapsed="false">
      <c r="A66" s="17" t="s">
        <v>348</v>
      </c>
      <c r="B66" s="38" t="n">
        <v>14</v>
      </c>
    </row>
    <row r="67" customFormat="false" ht="15" hidden="false" customHeight="false" outlineLevel="0" collapsed="false">
      <c r="A67" s="17" t="s">
        <v>349</v>
      </c>
      <c r="B67" s="18" t="n">
        <v>117</v>
      </c>
    </row>
    <row r="68" customFormat="false" ht="15" hidden="false" customHeight="false" outlineLevel="0" collapsed="false">
      <c r="A68" s="17" t="s">
        <v>350</v>
      </c>
      <c r="B68" s="21" t="n">
        <f aca="false">B67/100-1</f>
        <v>0.17</v>
      </c>
    </row>
    <row r="69" customFormat="false" ht="15" hidden="false" customHeight="false" outlineLevel="0" collapsed="false">
      <c r="A69" s="17" t="s">
        <v>351</v>
      </c>
      <c r="B69" s="19" t="n">
        <f aca="false">365/B66</f>
        <v>26.0714285714286</v>
      </c>
    </row>
    <row r="70" customFormat="false" ht="15" hidden="false" customHeight="false" outlineLevel="0" collapsed="false">
      <c r="A70" s="17" t="s">
        <v>352</v>
      </c>
      <c r="B70" s="32" t="n">
        <f aca="false">B69*B68</f>
        <v>4.43214285714286</v>
      </c>
      <c r="C70" s="33" t="n">
        <v>4.4321</v>
      </c>
      <c r="D70" s="25" t="str">
        <f aca="false">IF(ABS(B70-C70)&lt;0.0001,"✓","✗")</f>
        <v>✓</v>
      </c>
    </row>
    <row r="71" customFormat="false" ht="15" hidden="false" customHeight="false" outlineLevel="0" collapsed="false">
      <c r="A71" s="17" t="s">
        <v>353</v>
      </c>
      <c r="B71" s="32" t="n">
        <f aca="false">(1+B68)^B69-1</f>
        <v>58.9380795920757</v>
      </c>
      <c r="C71" s="33" t="n">
        <v>58.93</v>
      </c>
      <c r="D71" s="25" t="str">
        <f aca="false">IF(ABS(B71-C71)/ABS(C71)&lt;0.005,"✓","✗")</f>
        <v>✓</v>
      </c>
    </row>
    <row r="72" customFormat="false" ht="15" hidden="false" customHeight="false" outlineLevel="0" collapsed="false">
      <c r="A72" s="16" t="s">
        <v>354</v>
      </c>
    </row>
    <row r="74" customFormat="false" ht="15" hidden="false" customHeight="false" outlineLevel="0" collapsed="false">
      <c r="A74" s="17" t="s">
        <v>355</v>
      </c>
      <c r="B74" s="20" t="n">
        <v>0.18</v>
      </c>
      <c r="C74" s="38" t="n">
        <v>12</v>
      </c>
      <c r="D74" s="32" t="n">
        <f aca="false">(1+B74/C74)^C74-1</f>
        <v>0.195618171461534</v>
      </c>
      <c r="E74" s="33" t="n">
        <v>0.1956</v>
      </c>
      <c r="F74" s="25" t="str">
        <f aca="false">IF(ABS(D74-E74)&lt;0.0001,"✓","✗")</f>
        <v>✓</v>
      </c>
    </row>
  </sheetData>
  <mergeCells count="1">
    <mergeCell ref="D29:D33"/>
  </mergeCells>
  <conditionalFormatting sqref="C7">
    <cfRule type="expression" priority="2" aboveAverage="0" equalAverage="0" bottom="0" percent="0" rank="0" text="" dxfId="0">
      <formula>$B$6="APR"</formula>
    </cfRule>
  </conditionalFormatting>
  <conditionalFormatting sqref="C8">
    <cfRule type="expression" priority="3" aboveAverage="0" equalAverage="0" bottom="0" percent="0" rank="0" text="" dxfId="0">
      <formula>$B$6="EAR"</formula>
    </cfRule>
  </conditionalFormatting>
  <dataValidations count="1">
    <dataValidation allowBlank="false" error="Pick one of: EAR, APR" errorStyle="stop" errorTitle="Solve for" operator="between" prompt="Choose the variable to solve for" promptTitle="Solve for" showDropDown="false" showErrorMessage="false" showInputMessage="false" sqref="B6" type="list">
      <formula1>"EAR,APR"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2026-09-24T02:30:28Z</dcterms:created>
  <dc:creator>openpyxl</dc:creator>
  <dc:description/>
  <dc:language>en-US</dc:language>
  <cp:lastModifiedBy/>
  <dcterms:modified xsi:type="dcterms:W3CDTF">2026-09-24T02:30:30Z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