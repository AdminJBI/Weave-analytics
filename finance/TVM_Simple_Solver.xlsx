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ver" sheetId="1" state="visible" r:id="rId3"/>
    <sheet name="Practi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<sst xmlns="http://schemas.openxmlformats.org/spreadsheetml/2006/main" count="193" uniqueCount="155">
  <si>
    <t xml:space="preserve">Time Value of Money – plug-and-play solver</t>
  </si>
  <si>
    <t xml:space="preserve">Type your numbers into the yellow cells. The green cell is the answer. Rates go in as % (8%, not 8). Each block is prefilled with the slide example.</t>
  </si>
  <si>
    <t xml:space="preserve">1. Future value</t>
  </si>
  <si>
    <t xml:space="preserve">FV = PV × (1 + R)^T</t>
  </si>
  <si>
    <t xml:space="preserve">When to use: you have money today and want to know what it grows to after T periods at rate R.</t>
  </si>
  <si>
    <t xml:space="preserve">Present value  PV</t>
  </si>
  <si>
    <t xml:space="preserve">money today</t>
  </si>
  <si>
    <t xml:space="preserve">Rate  R</t>
  </si>
  <si>
    <t xml:space="preserve">per period</t>
  </si>
  <si>
    <t xml:space="preserve">Periods  T</t>
  </si>
  <si>
    <t xml:space="preserve">years (or months if R is monthly)</t>
  </si>
  <si>
    <t xml:space="preserve">Future value  FV</t>
  </si>
  <si>
    <t xml:space="preserve">Slide 7: Manhattan, $24 at 5% for 399 years = $6.84 billion (try 6% → $300 billion)</t>
  </si>
  <si>
    <t xml:space="preserve">2. Present value</t>
  </si>
  <si>
    <t xml:space="preserve">PV = FV / (1 + R)^T</t>
  </si>
  <si>
    <t xml:space="preserve">When to use: you will receive money in the future and want its value today (discounting).</t>
  </si>
  <si>
    <t xml:space="preserve">money at time T ($ billion here)</t>
  </si>
  <si>
    <t xml:space="preserve">discount rate per period</t>
  </si>
  <si>
    <t xml:space="preserve">Slide 11: GM pension $45 bn in 15 years at 6% = $18.78 bn (at 4% → $24.99 bn)</t>
  </si>
  <si>
    <t xml:space="preserve">3. Rate (yield)</t>
  </si>
  <si>
    <t xml:space="preserve">R = (FV / PV)^(1/T) − 1</t>
  </si>
  <si>
    <t xml:space="preserve">When to use: you know what you pay now, what you get back, and when, and want the return.</t>
  </si>
  <si>
    <t xml:space="preserve">$ billion</t>
  </si>
  <si>
    <t xml:space="preserve">Slide 14: Microsoft, 1.3 → 2.5 in 25 years = 2.65%</t>
  </si>
  <si>
    <t xml:space="preserve">4. Time</t>
  </si>
  <si>
    <t xml:space="preserve">T = ln(FV / PV) / ln(1 + R)</t>
  </si>
  <si>
    <t xml:space="preserve">When to use: you want to know how long it takes for PV to grow into FV at rate R.</t>
  </si>
  <si>
    <t xml:space="preserve">$ thousand</t>
  </si>
  <si>
    <t xml:space="preserve">same units as PV!</t>
  </si>
  <si>
    <t xml:space="preserve">Slide 16: aunt, 500 → 4,000 at 8% = 27 years (at 4% → 53). If FV &lt; PV the answer is negative – check your units.</t>
  </si>
  <si>
    <t xml:space="preserve">5. Multiple cash flows</t>
  </si>
  <si>
    <t xml:space="preserve">PV = Σ CFt / (1+R)^t        FV = Σ CFt × (1+R)^(T−t)</t>
  </si>
  <si>
    <t xml:space="preserve">When to use: several cash flows at different dates. Discount each one to today (PV) or grow each one to the last date (FV), then add.</t>
  </si>
  <si>
    <t xml:space="preserve">Cash flow at t = 1, 2, 3 …  (leave unused blank)</t>
  </si>
  <si>
    <t xml:space="preserve">← PV of each cash flow</t>
  </si>
  <si>
    <t xml:space="preserve">CF at t = 1</t>
  </si>
  <si>
    <t xml:space="preserve">CF at t = 2</t>
  </si>
  <si>
    <t xml:space="preserve">CF at t = 3</t>
  </si>
  <si>
    <t xml:space="preserve">CF at t = 4</t>
  </si>
  <si>
    <t xml:space="preserve">CF at t = 5</t>
  </si>
  <si>
    <t xml:space="preserve">CF at t = 6</t>
  </si>
  <si>
    <t xml:space="preserve">CF at t = 7</t>
  </si>
  <si>
    <t xml:space="preserve">CF at t = 8</t>
  </si>
  <si>
    <t xml:space="preserve">CF at t = 9</t>
  </si>
  <si>
    <t xml:space="preserve">CF at t = 10</t>
  </si>
  <si>
    <t xml:space="preserve">Slide 21: rent 40 for 5 years then sell for 500 (year 5 = 540), at 6% → PV = 542.12</t>
  </si>
  <si>
    <t xml:space="preserve">Number of the last cash flow  T</t>
  </si>
  <si>
    <t xml:space="preserve">Future value at T  FV</t>
  </si>
  <si>
    <t xml:space="preserve">Slide 21: FV = 725.48. Shortcut: FV = PV × (1+R)^T</t>
  </si>
  <si>
    <t xml:space="preserve">6. Perpetuity</t>
  </si>
  <si>
    <t xml:space="preserve">PV = CF / R</t>
  </si>
  <si>
    <t xml:space="preserve">When to use: the same cash flow every period forever (preferred stock, consol bond). First payment one period from now.</t>
  </si>
  <si>
    <t xml:space="preserve">Cash flow per period  CF</t>
  </si>
  <si>
    <t xml:space="preserve">Slide 23: $10 forever at 8% = $125. Rearranged: CF = PV × R, R = CF / PV</t>
  </si>
  <si>
    <t xml:space="preserve">7. Growing perpetuity</t>
  </si>
  <si>
    <t xml:space="preserve">PV = CF / (R − g)</t>
  </si>
  <si>
    <t xml:space="preserve">When to use: a cash flow that lasts forever and grows at a constant rate g each period (stock with growing dividend). Needs g &lt; R.</t>
  </si>
  <si>
    <t xml:space="preserve">First cash flow  CF</t>
  </si>
  <si>
    <t xml:space="preserve">the payment one period from now</t>
  </si>
  <si>
    <t xml:space="preserve">Growth  g</t>
  </si>
  <si>
    <t xml:space="preserve">Slide 25: $10 growing 4% at 8% = $250</t>
  </si>
  <si>
    <t xml:space="preserve">8. Annuity – value today</t>
  </si>
  <si>
    <t xml:space="preserve">PV = CF/R × [1 − 1/(1+R)^T]</t>
  </si>
  <si>
    <t xml:space="preserve">When to use: equal payments for a fixed number of periods (loan, mortgage, car payment, pension).</t>
  </si>
  <si>
    <t xml:space="preserve">Payment per period  CF</t>
  </si>
  <si>
    <t xml:space="preserve">per period – monthly rate for monthly payments</t>
  </si>
  <si>
    <t xml:space="preserve">months here</t>
  </si>
  <si>
    <t xml:space="preserve">Check: 470 a month for 48 months at 1.5% = 16,000 (the credit-card debt)</t>
  </si>
  <si>
    <t xml:space="preserve">9. Annuity – payment needed</t>
  </si>
  <si>
    <t xml:space="preserve">CF = PV × R / [1 − 1/(1+R)^T]</t>
  </si>
  <si>
    <t xml:space="preserve">When to use: you know the debt (PV) and want the level payment that clears it in T periods. Same formula as block 8, solved for CF.</t>
  </si>
  <si>
    <t xml:space="preserve">Present value  PV (the debt)</t>
  </si>
  <si>
    <t xml:space="preserve">Payment  CF</t>
  </si>
  <si>
    <t xml:space="preserve">Slide 28: $16,000 at 1.5% a month over 48 months → $470 a month</t>
  </si>
  <si>
    <t xml:space="preserve">10. Growing annuity – payment needed</t>
  </si>
  <si>
    <t xml:space="preserve">CF = PV × (R − g) / [1 − ((1+g)/(1+R))^T]</t>
  </si>
  <si>
    <t xml:space="preserve">When to use: like block 9 but the payments grow at g each period (income rises). PV form: PV = CF/(R−g) × [1 − ((1+g)/(1+R))^T].</t>
  </si>
  <si>
    <t xml:space="preserve">First payment  CF</t>
  </si>
  <si>
    <t xml:space="preserve">Slide 28: first payment $423, then growing 0.5% a month</t>
  </si>
  <si>
    <t xml:space="preserve">11. Annuity – value at the end (FV)</t>
  </si>
  <si>
    <t xml:space="preserve">FV = CF × [(1+R)^T − 1] / R</t>
  </si>
  <si>
    <t xml:space="preserve">When to use: you save (or pay) the same amount every period and want the total at the end, with interest.</t>
  </si>
  <si>
    <t xml:space="preserve">Slide 28: saving $470 a month at 1.5% for 48 months = $32,696 = 16,000 × 1.015^48</t>
  </si>
  <si>
    <t xml:space="preserve">12. Effective annual rate</t>
  </si>
  <si>
    <t xml:space="preserve">EAR = (1 + APR/m)^m − 1</t>
  </si>
  <si>
    <t xml:space="preserve">When to use: a rate is quoted per year (APR) but interest is charged m times a year. EAR is what you really pay. Rate per period = APR/m.</t>
  </si>
  <si>
    <t xml:space="preserve">Quoted rate  APR</t>
  </si>
  <si>
    <t xml:space="preserve">Compounding periods per year  m</t>
  </si>
  <si>
    <t xml:space="preserve">12 monthly, 4 quarterly, 365 daily</t>
  </si>
  <si>
    <t xml:space="preserve">EAR</t>
  </si>
  <si>
    <t xml:space="preserve">Slide 29: 18% APR monthly = 19.56% EAR. Slide 30: 10% APR → 10.25% (m=2), 10.38% (4), 10.47% (12), 10.52% (365)</t>
  </si>
  <si>
    <t xml:space="preserve">13. Continuous compounding</t>
  </si>
  <si>
    <t xml:space="preserve">EAR = e^APR − 1</t>
  </si>
  <si>
    <t xml:space="preserve">When to use: interest compounds every instant (m → ∞). This is the most an APR can ever turn into.</t>
  </si>
  <si>
    <t xml:space="preserve">Slide 31: 10% continuous = 10.517%</t>
  </si>
  <si>
    <t xml:space="preserve">14. FV with compounding m times a year</t>
  </si>
  <si>
    <t xml:space="preserve">FV = PV × (1 + APR/m)^(T × m)</t>
  </si>
  <si>
    <t xml:space="preserve">When to use: money grows for T years at a quoted APR compounded m times a year. Continuous: FV = PV × e^(APR × T).</t>
  </si>
  <si>
    <t xml:space="preserve">Periods per year  m</t>
  </si>
  <si>
    <t xml:space="preserve">Years  T</t>
  </si>
  <si>
    <t xml:space="preserve">Slide 32: $100 at 10% for 20 years = 672.75 annual, 704.00 semi-annual, 738.91 continuous (=100×e^2)</t>
  </si>
  <si>
    <t xml:space="preserve">15. Payday loan: APR and EAR from a per-period price</t>
  </si>
  <si>
    <t xml:space="preserve">rate per period = price/100 − 1;  m = 365/days;  APR = m × rate;  EAR = (1 + rate)^m − 1</t>
  </si>
  <si>
    <t xml:space="preserve">When to use: a short loan quotes a price per $100 for a few days. Convert to a yearly quoted rate (APR) and the true yearly cost (EAR).</t>
  </si>
  <si>
    <t xml:space="preserve">Days of the loan</t>
  </si>
  <si>
    <t xml:space="preserve">Repay per $100 borrowed</t>
  </si>
  <si>
    <t xml:space="preserve">APR</t>
  </si>
  <si>
    <t xml:space="preserve">Slide 34: 443.21% APR</t>
  </si>
  <si>
    <t xml:space="preserve">Slide 34: 5,893% EAR</t>
  </si>
  <si>
    <t xml:space="preserve">Practice – the slide problems. Solve each with the block named, then compare.</t>
  </si>
  <si>
    <t xml:space="preserve">Problem</t>
  </si>
  <si>
    <t xml:space="preserve">Use block</t>
  </si>
  <si>
    <t xml:space="preserve">Slide answer</t>
  </si>
  <si>
    <t xml:space="preserve">Manhattan was bought for $24 in 1626. What is that worth 399 years later at 5%? At 6%?</t>
  </si>
  <si>
    <t xml:space="preserve">1</t>
  </si>
  <si>
    <t xml:space="preserve">$6.84 bn / $300 bn</t>
  </si>
  <si>
    <t xml:space="preserve">GM must pay $45 bn in 15 years. PV at 6%? At 4%?</t>
  </si>
  <si>
    <t xml:space="preserve">2</t>
  </si>
  <si>
    <t xml:space="preserve">$18.78 bn / $24.99 bn</t>
  </si>
  <si>
    <t xml:space="preserve">Microsoft raises $1.3 bn and repays $2.5 bn in 25 years. What yield is it offering?</t>
  </si>
  <si>
    <t xml:space="preserve">3</t>
  </si>
  <si>
    <t xml:space="preserve">2.65%</t>
  </si>
  <si>
    <t xml:space="preserve">Your aunt has $500k and wants $4m with no more saving. At 8% how many years? At 4%?</t>
  </si>
  <si>
    <t xml:space="preserve">4</t>
  </si>
  <si>
    <t xml:space="preserve">27 years / 53 years</t>
  </si>
  <si>
    <t xml:space="preserve">A building rents for $40k a year for 5 years, then sells for $500k. Value today at 6%? Cash at year 5?</t>
  </si>
  <si>
    <t xml:space="preserve">5</t>
  </si>
  <si>
    <t xml:space="preserve">$542.12k / $725.48k</t>
  </si>
  <si>
    <t xml:space="preserve">Preferred stock pays $10 a year forever. Value at 8%?</t>
  </si>
  <si>
    <t xml:space="preserve">6</t>
  </si>
  <si>
    <t xml:space="preserve">$125</t>
  </si>
  <si>
    <t xml:space="preserve">Common stock pays $10 next year, growing 4% a year forever. Value at 8%?</t>
  </si>
  <si>
    <t xml:space="preserve">7</t>
  </si>
  <si>
    <t xml:space="preserve">$250</t>
  </si>
  <si>
    <t xml:space="preserve">$16,000 of credit-card debt at 1.5% a month. Minimum payment to clear it in 48 months?</t>
  </si>
  <si>
    <t xml:space="preserve">9</t>
  </si>
  <si>
    <t xml:space="preserve">$470</t>
  </si>
  <si>
    <t xml:space="preserve">Same debt, but payments grow 0.5% a month. First payment?</t>
  </si>
  <si>
    <t xml:space="preserve">10</t>
  </si>
  <si>
    <t xml:space="preserve">$423</t>
  </si>
  <si>
    <t xml:space="preserve">If you saved the $470 a month at 1.5% instead, how much after 48 months?</t>
  </si>
  <si>
    <t xml:space="preserve">11</t>
  </si>
  <si>
    <t xml:space="preserve">$32,696</t>
  </si>
  <si>
    <t xml:space="preserve">A credit card quotes 18% APR, monthly compounding. Effective annual rate?</t>
  </si>
  <si>
    <t xml:space="preserve">12</t>
  </si>
  <si>
    <t xml:space="preserve">19.56%</t>
  </si>
  <si>
    <t xml:space="preserve">10% quoted rate. EAR if compounded semi-annually, monthly, daily, continuously?</t>
  </si>
  <si>
    <t xml:space="preserve">12 and 13</t>
  </si>
  <si>
    <t xml:space="preserve">10.25% / 10.47% / 10.516% / 10.517%</t>
  </si>
  <si>
    <t xml:space="preserve">$100 at a 10% quoted rate for 20 years: annual vs semi-annual vs continuous compounding?</t>
  </si>
  <si>
    <t xml:space="preserve">14</t>
  </si>
  <si>
    <t xml:space="preserve">$672.75 / $704.00 / $738.91</t>
  </si>
  <si>
    <t xml:space="preserve">A payday lender charges $117 per $100 for 14 days. APR to report? EAR?</t>
  </si>
  <si>
    <t xml:space="preserve">15</t>
  </si>
  <si>
    <t xml:space="preserve">443.21% / 5,893%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</si>
</sst>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0%"/>
    <numFmt numFmtId="167" formatCode="0.00"/>
    <numFmt numFmtId="168" formatCode="0"/>
    <numFmt numFmtId="169" formatCode="0.000%"/>
    <numFmt numFmtId="170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5B2C8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color rgb="FF5B2C8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7F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5B2C8F"/>
        <bgColor rgb="FF6600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7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5B2C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15" hidden="false" customHeight="false" outlineLevel="0" collapsed="false">
      <c r="A4" s="3" t="s">
        <v>2</v>
      </c>
      <c r="B4" s="4"/>
      <c r="C4" s="5" t="s">
        <v>3</v>
      </c>
    </row>
    <row r="5" customFormat="false" ht="30" hidden="false" customHeight="true" outlineLevel="0" collapsed="false">
      <c r="C5" s="6" t="s">
        <v>4</v>
      </c>
    </row>
    <row r="6" customFormat="false" ht="15" hidden="false" customHeight="false" outlineLevel="0" collapsed="false">
      <c r="A6" s="7" t="s">
        <v>5</v>
      </c>
      <c r="B6" s="8" t="n">
        <v>24</v>
      </c>
      <c r="C6" s="2" t="s">
        <v>6</v>
      </c>
    </row>
    <row r="7" customFormat="false" ht="15" hidden="false" customHeight="false" outlineLevel="0" collapsed="false">
      <c r="A7" s="7" t="s">
        <v>7</v>
      </c>
      <c r="B7" s="9" t="n">
        <v>0.05</v>
      </c>
      <c r="C7" s="2" t="s">
        <v>8</v>
      </c>
    </row>
    <row r="8" customFormat="false" ht="15" hidden="false" customHeight="false" outlineLevel="0" collapsed="false">
      <c r="A8" s="7" t="s">
        <v>9</v>
      </c>
      <c r="B8" s="10" t="n">
        <v>399</v>
      </c>
      <c r="C8" s="2" t="s">
        <v>10</v>
      </c>
    </row>
    <row r="9" customFormat="false" ht="15" hidden="false" customHeight="false" outlineLevel="0" collapsed="false">
      <c r="A9" s="11" t="s">
        <v>11</v>
      </c>
      <c r="B9" s="12" t="n">
        <f aca="false">B6*(1+B7)^B8</f>
        <v>6835048028.54501</v>
      </c>
      <c r="C9" s="2" t="s">
        <v>12</v>
      </c>
    </row>
    <row r="11" customFormat="false" ht="16.15" hidden="false" customHeight="false" outlineLevel="0" collapsed="false">
      <c r="A11" s="3" t="s">
        <v>13</v>
      </c>
      <c r="B11" s="4"/>
      <c r="C11" s="5" t="s">
        <v>14</v>
      </c>
    </row>
    <row r="12" customFormat="false" ht="30" hidden="false" customHeight="true" outlineLevel="0" collapsed="false">
      <c r="C12" s="6" t="s">
        <v>15</v>
      </c>
    </row>
    <row r="13" customFormat="false" ht="15" hidden="false" customHeight="false" outlineLevel="0" collapsed="false">
      <c r="A13" s="7" t="s">
        <v>11</v>
      </c>
      <c r="B13" s="8" t="n">
        <v>45</v>
      </c>
      <c r="C13" s="2" t="s">
        <v>16</v>
      </c>
    </row>
    <row r="14" customFormat="false" ht="15" hidden="false" customHeight="false" outlineLevel="0" collapsed="false">
      <c r="A14" s="7" t="s">
        <v>7</v>
      </c>
      <c r="B14" s="9" t="n">
        <v>0.06</v>
      </c>
      <c r="C14" s="2" t="s">
        <v>17</v>
      </c>
    </row>
    <row r="15" customFormat="false" ht="15" hidden="false" customHeight="false" outlineLevel="0" collapsed="false">
      <c r="A15" s="7" t="s">
        <v>9</v>
      </c>
      <c r="B15" s="10" t="n">
        <v>15</v>
      </c>
      <c r="C15" s="2"/>
    </row>
    <row r="16" customFormat="false" ht="15" hidden="false" customHeight="false" outlineLevel="0" collapsed="false">
      <c r="A16" s="11" t="s">
        <v>5</v>
      </c>
      <c r="B16" s="12" t="n">
        <f aca="false">B13/(1+B14)^B15</f>
        <v>18.7769277330993</v>
      </c>
      <c r="C16" s="2" t="s">
        <v>18</v>
      </c>
    </row>
    <row r="18" customFormat="false" ht="16.15" hidden="false" customHeight="false" outlineLevel="0" collapsed="false">
      <c r="A18" s="3" t="s">
        <v>19</v>
      </c>
      <c r="B18" s="4"/>
      <c r="C18" s="5" t="s">
        <v>20</v>
      </c>
    </row>
    <row r="19" customFormat="false" ht="30" hidden="false" customHeight="true" outlineLevel="0" collapsed="false">
      <c r="C19" s="6" t="s">
        <v>21</v>
      </c>
    </row>
    <row r="20" customFormat="false" ht="15" hidden="false" customHeight="false" outlineLevel="0" collapsed="false">
      <c r="A20" s="7" t="s">
        <v>5</v>
      </c>
      <c r="B20" s="8" t="n">
        <v>1.3</v>
      </c>
      <c r="C20" s="2" t="s">
        <v>22</v>
      </c>
    </row>
    <row r="21" customFormat="false" ht="15" hidden="false" customHeight="false" outlineLevel="0" collapsed="false">
      <c r="A21" s="7" t="s">
        <v>11</v>
      </c>
      <c r="B21" s="8" t="n">
        <v>2.5</v>
      </c>
      <c r="C21" s="2"/>
    </row>
    <row r="22" customFormat="false" ht="15" hidden="false" customHeight="false" outlineLevel="0" collapsed="false">
      <c r="A22" s="7" t="s">
        <v>9</v>
      </c>
      <c r="B22" s="10" t="n">
        <v>25</v>
      </c>
      <c r="C22" s="2"/>
    </row>
    <row r="23" customFormat="false" ht="15" hidden="false" customHeight="false" outlineLevel="0" collapsed="false">
      <c r="A23" s="11" t="s">
        <v>7</v>
      </c>
      <c r="B23" s="13" t="n">
        <f aca="false">(B21/B20)^(1/B22)-1</f>
        <v>0.0265021569039958</v>
      </c>
      <c r="C23" s="2" t="s">
        <v>23</v>
      </c>
    </row>
    <row r="25" customFormat="false" ht="16.15" hidden="false" customHeight="false" outlineLevel="0" collapsed="false">
      <c r="A25" s="3" t="s">
        <v>24</v>
      </c>
      <c r="B25" s="4"/>
      <c r="C25" s="5" t="s">
        <v>25</v>
      </c>
    </row>
    <row r="26" customFormat="false" ht="30" hidden="false" customHeight="true" outlineLevel="0" collapsed="false">
      <c r="C26" s="6" t="s">
        <v>26</v>
      </c>
    </row>
    <row r="27" customFormat="false" ht="15" hidden="false" customHeight="false" outlineLevel="0" collapsed="false">
      <c r="A27" s="7" t="s">
        <v>5</v>
      </c>
      <c r="B27" s="8" t="n">
        <v>500</v>
      </c>
      <c r="C27" s="2" t="s">
        <v>27</v>
      </c>
    </row>
    <row r="28" customFormat="false" ht="15" hidden="false" customHeight="false" outlineLevel="0" collapsed="false">
      <c r="A28" s="7" t="s">
        <v>11</v>
      </c>
      <c r="B28" s="8" t="n">
        <v>4000</v>
      </c>
      <c r="C28" s="2" t="s">
        <v>28</v>
      </c>
    </row>
    <row r="29" customFormat="false" ht="15" hidden="false" customHeight="false" outlineLevel="0" collapsed="false">
      <c r="A29" s="7" t="s">
        <v>7</v>
      </c>
      <c r="B29" s="9" t="n">
        <v>0.08</v>
      </c>
      <c r="C29" s="2"/>
    </row>
    <row r="30" customFormat="false" ht="15" hidden="false" customHeight="false" outlineLevel="0" collapsed="false">
      <c r="A30" s="11" t="s">
        <v>9</v>
      </c>
      <c r="B30" s="14" t="n">
        <f aca="false">LN(B28/B27)/LN(1+B29)</f>
        <v>27.0194050260018</v>
      </c>
      <c r="C30" s="2" t="s">
        <v>29</v>
      </c>
    </row>
    <row r="32" customFormat="false" ht="16.15" hidden="false" customHeight="false" outlineLevel="0" collapsed="false">
      <c r="A32" s="3" t="s">
        <v>30</v>
      </c>
      <c r="B32" s="4"/>
      <c r="C32" s="5" t="s">
        <v>31</v>
      </c>
    </row>
    <row r="33" customFormat="false" ht="30" hidden="false" customHeight="true" outlineLevel="0" collapsed="false">
      <c r="C33" s="6" t="s">
        <v>32</v>
      </c>
    </row>
    <row r="34" customFormat="false" ht="15" hidden="false" customHeight="false" outlineLevel="0" collapsed="false">
      <c r="A34" s="15" t="s">
        <v>7</v>
      </c>
      <c r="B34" s="16" t="n">
        <v>0.06</v>
      </c>
    </row>
    <row r="35" customFormat="false" ht="15" hidden="false" customHeight="false" outlineLevel="0" collapsed="false">
      <c r="A35" s="2" t="s">
        <v>33</v>
      </c>
      <c r="C35" s="2" t="s">
        <v>34</v>
      </c>
    </row>
    <row r="36" customFormat="false" ht="15" hidden="false" customHeight="false" outlineLevel="0" collapsed="false">
      <c r="A36" s="15" t="s">
        <v>35</v>
      </c>
      <c r="B36" s="17" t="n">
        <v>40</v>
      </c>
      <c r="C36" s="18" t="n">
        <f aca="false">IF(B36="","",B36/(1+B34)^1)</f>
        <v>37.7358490566038</v>
      </c>
    </row>
    <row r="37" customFormat="false" ht="15" hidden="false" customHeight="false" outlineLevel="0" collapsed="false">
      <c r="A37" s="15" t="s">
        <v>36</v>
      </c>
      <c r="B37" s="17" t="n">
        <v>40</v>
      </c>
      <c r="C37" s="18" t="n">
        <f aca="false">IF(B37="","",B37/(1+B34)^2)</f>
        <v>35.5998576005696</v>
      </c>
    </row>
    <row r="38" customFormat="false" ht="15" hidden="false" customHeight="false" outlineLevel="0" collapsed="false">
      <c r="A38" s="15" t="s">
        <v>37</v>
      </c>
      <c r="B38" s="17" t="n">
        <v>40</v>
      </c>
      <c r="C38" s="18" t="n">
        <f aca="false">IF(B38="","",B38/(1+B34)^3)</f>
        <v>33.5847713212921</v>
      </c>
    </row>
    <row r="39" customFormat="false" ht="15" hidden="false" customHeight="false" outlineLevel="0" collapsed="false">
      <c r="A39" s="15" t="s">
        <v>38</v>
      </c>
      <c r="B39" s="17" t="n">
        <v>40</v>
      </c>
      <c r="C39" s="18" t="n">
        <f aca="false">IF(B39="","",B39/(1+B34)^4)</f>
        <v>31.6837465295208</v>
      </c>
    </row>
    <row r="40" customFormat="false" ht="15" hidden="false" customHeight="false" outlineLevel="0" collapsed="false">
      <c r="A40" s="15" t="s">
        <v>39</v>
      </c>
      <c r="B40" s="17" t="n">
        <v>540</v>
      </c>
      <c r="C40" s="18" t="n">
        <f aca="false">IF(B40="","",B40/(1+B34)^5)</f>
        <v>403.519413347671</v>
      </c>
    </row>
    <row r="41" customFormat="false" ht="15" hidden="false" customHeight="false" outlineLevel="0" collapsed="false">
      <c r="A41" s="15" t="s">
        <v>40</v>
      </c>
      <c r="B41" s="17"/>
      <c r="C41" s="18" t="str">
        <f aca="false">IF(B41="","",B41/(1+B34)^6)</f>
        <v/>
      </c>
    </row>
    <row r="42" customFormat="false" ht="15" hidden="false" customHeight="false" outlineLevel="0" collapsed="false">
      <c r="A42" s="15" t="s">
        <v>41</v>
      </c>
      <c r="B42" s="17"/>
      <c r="C42" s="18" t="str">
        <f aca="false">IF(B42="","",B42/(1+B34)^7)</f>
        <v/>
      </c>
    </row>
    <row r="43" customFormat="false" ht="15" hidden="false" customHeight="false" outlineLevel="0" collapsed="false">
      <c r="A43" s="15" t="s">
        <v>42</v>
      </c>
      <c r="B43" s="17"/>
      <c r="C43" s="18" t="str">
        <f aca="false">IF(B43="","",B43/(1+B34)^8)</f>
        <v/>
      </c>
    </row>
    <row r="44" customFormat="false" ht="15" hidden="false" customHeight="false" outlineLevel="0" collapsed="false">
      <c r="A44" s="15" t="s">
        <v>43</v>
      </c>
      <c r="B44" s="17"/>
      <c r="C44" s="18" t="str">
        <f aca="false">IF(B44="","",B44/(1+B34)^9)</f>
        <v/>
      </c>
    </row>
    <row r="45" customFormat="false" ht="15" hidden="false" customHeight="false" outlineLevel="0" collapsed="false">
      <c r="A45" s="15" t="s">
        <v>44</v>
      </c>
      <c r="B45" s="17"/>
      <c r="C45" s="18" t="str">
        <f aca="false">IF(B45="","",B45/(1+B34)^10)</f>
        <v/>
      </c>
    </row>
    <row r="46" customFormat="false" ht="15" hidden="false" customHeight="false" outlineLevel="0" collapsed="false">
      <c r="A46" s="11" t="s">
        <v>5</v>
      </c>
      <c r="B46" s="19" t="n">
        <f aca="false">NPV(B34,B36:B45)</f>
        <v>542.123637855657</v>
      </c>
      <c r="C46" s="2" t="s">
        <v>45</v>
      </c>
    </row>
    <row r="47" customFormat="false" ht="15" hidden="false" customHeight="false" outlineLevel="0" collapsed="false">
      <c r="A47" s="15" t="s">
        <v>46</v>
      </c>
      <c r="B47" s="20" t="n">
        <f aca="false">COUNT(B36:B45)</f>
        <v>5</v>
      </c>
    </row>
    <row r="48" customFormat="false" ht="15" hidden="false" customHeight="false" outlineLevel="0" collapsed="false">
      <c r="A48" s="11" t="s">
        <v>47</v>
      </c>
      <c r="B48" s="19" t="n">
        <f aca="false">B46*(1+B34)^B47</f>
        <v>725.4837184</v>
      </c>
      <c r="C48" s="2" t="s">
        <v>48</v>
      </c>
    </row>
    <row r="50" customFormat="false" ht="16.15" hidden="false" customHeight="false" outlineLevel="0" collapsed="false">
      <c r="A50" s="3" t="s">
        <v>49</v>
      </c>
      <c r="B50" s="4"/>
      <c r="C50" s="5" t="s">
        <v>50</v>
      </c>
    </row>
    <row r="51" customFormat="false" ht="30" hidden="false" customHeight="true" outlineLevel="0" collapsed="false">
      <c r="C51" s="6" t="s">
        <v>51</v>
      </c>
    </row>
    <row r="52" customFormat="false" ht="15" hidden="false" customHeight="false" outlineLevel="0" collapsed="false">
      <c r="A52" s="7" t="s">
        <v>52</v>
      </c>
      <c r="B52" s="8" t="n">
        <v>10</v>
      </c>
      <c r="C52" s="2"/>
    </row>
    <row r="53" customFormat="false" ht="15" hidden="false" customHeight="false" outlineLevel="0" collapsed="false">
      <c r="A53" s="7" t="s">
        <v>7</v>
      </c>
      <c r="B53" s="9" t="n">
        <v>0.08</v>
      </c>
      <c r="C53" s="2"/>
    </row>
    <row r="54" customFormat="false" ht="15" hidden="false" customHeight="false" outlineLevel="0" collapsed="false">
      <c r="A54" s="11" t="s">
        <v>5</v>
      </c>
      <c r="B54" s="12" t="n">
        <f aca="false">B52/B53</f>
        <v>125</v>
      </c>
      <c r="C54" s="2" t="s">
        <v>53</v>
      </c>
    </row>
    <row r="56" customFormat="false" ht="16.15" hidden="false" customHeight="false" outlineLevel="0" collapsed="false">
      <c r="A56" s="3" t="s">
        <v>54</v>
      </c>
      <c r="B56" s="4"/>
      <c r="C56" s="5" t="s">
        <v>55</v>
      </c>
    </row>
    <row r="57" customFormat="false" ht="30" hidden="false" customHeight="true" outlineLevel="0" collapsed="false">
      <c r="C57" s="6" t="s">
        <v>56</v>
      </c>
    </row>
    <row r="58" customFormat="false" ht="15" hidden="false" customHeight="false" outlineLevel="0" collapsed="false">
      <c r="A58" s="7" t="s">
        <v>57</v>
      </c>
      <c r="B58" s="8" t="n">
        <v>10</v>
      </c>
      <c r="C58" s="2" t="s">
        <v>58</v>
      </c>
    </row>
    <row r="59" customFormat="false" ht="15" hidden="false" customHeight="false" outlineLevel="0" collapsed="false">
      <c r="A59" s="7" t="s">
        <v>7</v>
      </c>
      <c r="B59" s="9" t="n">
        <v>0.08</v>
      </c>
      <c r="C59" s="2"/>
    </row>
    <row r="60" customFormat="false" ht="15" hidden="false" customHeight="false" outlineLevel="0" collapsed="false">
      <c r="A60" s="7" t="s">
        <v>59</v>
      </c>
      <c r="B60" s="9" t="n">
        <v>0.04</v>
      </c>
      <c r="C60" s="2"/>
    </row>
    <row r="61" customFormat="false" ht="15" hidden="false" customHeight="false" outlineLevel="0" collapsed="false">
      <c r="A61" s="11" t="s">
        <v>5</v>
      </c>
      <c r="B61" s="12" t="n">
        <f aca="false">IF(B60&gt;=B59,"g must be &lt; R",B58/(B59-B60))</f>
        <v>250</v>
      </c>
      <c r="C61" s="2" t="s">
        <v>60</v>
      </c>
    </row>
    <row r="63" customFormat="false" ht="16.15" hidden="false" customHeight="false" outlineLevel="0" collapsed="false">
      <c r="A63" s="3" t="s">
        <v>61</v>
      </c>
      <c r="B63" s="4"/>
      <c r="C63" s="5" t="s">
        <v>62</v>
      </c>
    </row>
    <row r="64" customFormat="false" ht="30" hidden="false" customHeight="true" outlineLevel="0" collapsed="false">
      <c r="C64" s="6" t="s">
        <v>63</v>
      </c>
    </row>
    <row r="65" customFormat="false" ht="15" hidden="false" customHeight="false" outlineLevel="0" collapsed="false">
      <c r="A65" s="7" t="s">
        <v>64</v>
      </c>
      <c r="B65" s="8" t="n">
        <v>470</v>
      </c>
      <c r="C65" s="2"/>
    </row>
    <row r="66" customFormat="false" ht="15" hidden="false" customHeight="false" outlineLevel="0" collapsed="false">
      <c r="A66" s="7" t="s">
        <v>7</v>
      </c>
      <c r="B66" s="9" t="n">
        <v>0.015</v>
      </c>
      <c r="C66" s="2" t="s">
        <v>65</v>
      </c>
    </row>
    <row r="67" customFormat="false" ht="15" hidden="false" customHeight="false" outlineLevel="0" collapsed="false">
      <c r="A67" s="7" t="s">
        <v>9</v>
      </c>
      <c r="B67" s="10" t="n">
        <v>48</v>
      </c>
      <c r="C67" s="2" t="s">
        <v>66</v>
      </c>
    </row>
    <row r="68" customFormat="false" ht="15" hidden="false" customHeight="false" outlineLevel="0" collapsed="false">
      <c r="A68" s="11" t="s">
        <v>5</v>
      </c>
      <c r="B68" s="12" t="n">
        <f aca="false">B65/B66*(1-1/(1+B66)^B67)</f>
        <v>16000.0002134265</v>
      </c>
      <c r="C68" s="2" t="s">
        <v>67</v>
      </c>
    </row>
    <row r="70" customFormat="false" ht="16.15" hidden="false" customHeight="false" outlineLevel="0" collapsed="false">
      <c r="A70" s="3" t="s">
        <v>68</v>
      </c>
      <c r="B70" s="4"/>
      <c r="C70" s="5" t="s">
        <v>69</v>
      </c>
    </row>
    <row r="71" customFormat="false" ht="30" hidden="false" customHeight="true" outlineLevel="0" collapsed="false">
      <c r="C71" s="6" t="s">
        <v>70</v>
      </c>
    </row>
    <row r="72" customFormat="false" ht="15" hidden="false" customHeight="false" outlineLevel="0" collapsed="false">
      <c r="A72" s="7" t="s">
        <v>71</v>
      </c>
      <c r="B72" s="8" t="n">
        <v>16000</v>
      </c>
      <c r="C72" s="2"/>
    </row>
    <row r="73" customFormat="false" ht="15" hidden="false" customHeight="false" outlineLevel="0" collapsed="false">
      <c r="A73" s="7" t="s">
        <v>7</v>
      </c>
      <c r="B73" s="9" t="n">
        <v>0.015</v>
      </c>
      <c r="C73" s="2" t="s">
        <v>8</v>
      </c>
    </row>
    <row r="74" customFormat="false" ht="15" hidden="false" customHeight="false" outlineLevel="0" collapsed="false">
      <c r="A74" s="7" t="s">
        <v>9</v>
      </c>
      <c r="B74" s="10" t="n">
        <v>48</v>
      </c>
      <c r="C74" s="2"/>
    </row>
    <row r="75" customFormat="false" ht="15" hidden="false" customHeight="false" outlineLevel="0" collapsed="false">
      <c r="A75" s="11" t="s">
        <v>72</v>
      </c>
      <c r="B75" s="12" t="n">
        <f aca="false">B72*B73/(1-1/(1+B73)^B74)</f>
        <v>469.999993730597</v>
      </c>
      <c r="C75" s="2" t="s">
        <v>73</v>
      </c>
    </row>
    <row r="77" customFormat="false" ht="16.15" hidden="false" customHeight="false" outlineLevel="0" collapsed="false">
      <c r="A77" s="3" t="s">
        <v>74</v>
      </c>
      <c r="B77" s="4"/>
      <c r="C77" s="5" t="s">
        <v>75</v>
      </c>
    </row>
    <row r="78" customFormat="false" ht="30" hidden="false" customHeight="true" outlineLevel="0" collapsed="false">
      <c r="C78" s="6" t="s">
        <v>76</v>
      </c>
    </row>
    <row r="79" customFormat="false" ht="15" hidden="false" customHeight="false" outlineLevel="0" collapsed="false">
      <c r="A79" s="7" t="s">
        <v>71</v>
      </c>
      <c r="B79" s="8" t="n">
        <v>16000</v>
      </c>
      <c r="C79" s="2"/>
    </row>
    <row r="80" customFormat="false" ht="15" hidden="false" customHeight="false" outlineLevel="0" collapsed="false">
      <c r="A80" s="7" t="s">
        <v>7</v>
      </c>
      <c r="B80" s="9" t="n">
        <v>0.015</v>
      </c>
      <c r="C80" s="2"/>
    </row>
    <row r="81" customFormat="false" ht="15" hidden="false" customHeight="false" outlineLevel="0" collapsed="false">
      <c r="A81" s="7" t="s">
        <v>59</v>
      </c>
      <c r="B81" s="9" t="n">
        <v>0.005</v>
      </c>
      <c r="C81" s="2"/>
    </row>
    <row r="82" customFormat="false" ht="15" hidden="false" customHeight="false" outlineLevel="0" collapsed="false">
      <c r="A82" s="7" t="s">
        <v>9</v>
      </c>
      <c r="B82" s="10" t="n">
        <v>48</v>
      </c>
      <c r="C82" s="2"/>
    </row>
    <row r="83" customFormat="false" ht="15" hidden="false" customHeight="false" outlineLevel="0" collapsed="false">
      <c r="A83" s="11" t="s">
        <v>77</v>
      </c>
      <c r="B83" s="12" t="n">
        <f aca="false">B79*(B80-B81)/(1-((1+B81)/(1+B80))^B82)</f>
        <v>422.976875553208</v>
      </c>
      <c r="C83" s="2" t="s">
        <v>78</v>
      </c>
    </row>
    <row r="85" customFormat="false" ht="16.15" hidden="false" customHeight="false" outlineLevel="0" collapsed="false">
      <c r="A85" s="3" t="s">
        <v>79</v>
      </c>
      <c r="B85" s="4"/>
      <c r="C85" s="5" t="s">
        <v>80</v>
      </c>
    </row>
    <row r="86" customFormat="false" ht="30" hidden="false" customHeight="true" outlineLevel="0" collapsed="false">
      <c r="C86" s="6" t="s">
        <v>81</v>
      </c>
    </row>
    <row r="87" customFormat="false" ht="15" hidden="false" customHeight="false" outlineLevel="0" collapsed="false">
      <c r="A87" s="7" t="s">
        <v>64</v>
      </c>
      <c r="B87" s="8" t="n">
        <v>470</v>
      </c>
      <c r="C87" s="2"/>
    </row>
    <row r="88" customFormat="false" ht="15" hidden="false" customHeight="false" outlineLevel="0" collapsed="false">
      <c r="A88" s="7" t="s">
        <v>7</v>
      </c>
      <c r="B88" s="9" t="n">
        <v>0.015</v>
      </c>
      <c r="C88" s="2"/>
    </row>
    <row r="89" customFormat="false" ht="15" hidden="false" customHeight="false" outlineLevel="0" collapsed="false">
      <c r="A89" s="7" t="s">
        <v>9</v>
      </c>
      <c r="B89" s="10" t="n">
        <v>48</v>
      </c>
      <c r="C89" s="2"/>
    </row>
    <row r="90" customFormat="false" ht="15" hidden="false" customHeight="false" outlineLevel="0" collapsed="false">
      <c r="A90" s="11" t="s">
        <v>11</v>
      </c>
      <c r="B90" s="12" t="n">
        <f aca="false">B87*((1+B88)^B89-1)/B88</f>
        <v>32695.65306514</v>
      </c>
      <c r="C90" s="2" t="s">
        <v>82</v>
      </c>
    </row>
    <row r="92" customFormat="false" ht="16.15" hidden="false" customHeight="false" outlineLevel="0" collapsed="false">
      <c r="A92" s="3" t="s">
        <v>83</v>
      </c>
      <c r="B92" s="4"/>
      <c r="C92" s="5" t="s">
        <v>84</v>
      </c>
    </row>
    <row r="93" customFormat="false" ht="30" hidden="false" customHeight="true" outlineLevel="0" collapsed="false">
      <c r="C93" s="6" t="s">
        <v>85</v>
      </c>
    </row>
    <row r="94" customFormat="false" ht="15" hidden="false" customHeight="false" outlineLevel="0" collapsed="false">
      <c r="A94" s="7" t="s">
        <v>86</v>
      </c>
      <c r="B94" s="9" t="n">
        <v>0.18</v>
      </c>
      <c r="C94" s="2"/>
    </row>
    <row r="95" customFormat="false" ht="15" hidden="false" customHeight="false" outlineLevel="0" collapsed="false">
      <c r="A95" s="7" t="s">
        <v>87</v>
      </c>
      <c r="B95" s="21" t="n">
        <v>12</v>
      </c>
      <c r="C95" s="2" t="s">
        <v>88</v>
      </c>
    </row>
    <row r="96" customFormat="false" ht="15" hidden="false" customHeight="false" outlineLevel="0" collapsed="false">
      <c r="A96" s="11" t="s">
        <v>89</v>
      </c>
      <c r="B96" s="13" t="n">
        <f aca="false">(1+B94/B95)^B95-1</f>
        <v>0.195618171461534</v>
      </c>
      <c r="C96" s="2" t="s">
        <v>90</v>
      </c>
    </row>
    <row r="98" customFormat="false" ht="16.15" hidden="false" customHeight="false" outlineLevel="0" collapsed="false">
      <c r="A98" s="3" t="s">
        <v>91</v>
      </c>
      <c r="B98" s="4"/>
      <c r="C98" s="5" t="s">
        <v>92</v>
      </c>
    </row>
    <row r="99" customFormat="false" ht="30" hidden="false" customHeight="true" outlineLevel="0" collapsed="false">
      <c r="C99" s="6" t="s">
        <v>93</v>
      </c>
    </row>
    <row r="100" customFormat="false" ht="15" hidden="false" customHeight="false" outlineLevel="0" collapsed="false">
      <c r="A100" s="7" t="s">
        <v>86</v>
      </c>
      <c r="B100" s="9" t="n">
        <v>0.1</v>
      </c>
      <c r="C100" s="2"/>
    </row>
    <row r="101" customFormat="false" ht="15" hidden="false" customHeight="false" outlineLevel="0" collapsed="false">
      <c r="A101" s="11" t="s">
        <v>89</v>
      </c>
      <c r="B101" s="22" t="n">
        <f aca="false">EXP(B100)-1</f>
        <v>0.105170918075648</v>
      </c>
      <c r="C101" s="2" t="s">
        <v>94</v>
      </c>
    </row>
    <row r="103" customFormat="false" ht="16.15" hidden="false" customHeight="false" outlineLevel="0" collapsed="false">
      <c r="A103" s="3" t="s">
        <v>95</v>
      </c>
      <c r="B103" s="4"/>
      <c r="C103" s="5" t="s">
        <v>96</v>
      </c>
    </row>
    <row r="104" customFormat="false" ht="30" hidden="false" customHeight="true" outlineLevel="0" collapsed="false">
      <c r="C104" s="6" t="s">
        <v>97</v>
      </c>
    </row>
    <row r="105" customFormat="false" ht="15" hidden="false" customHeight="false" outlineLevel="0" collapsed="false">
      <c r="A105" s="7" t="s">
        <v>5</v>
      </c>
      <c r="B105" s="8" t="n">
        <v>100</v>
      </c>
      <c r="C105" s="2"/>
    </row>
    <row r="106" customFormat="false" ht="15" hidden="false" customHeight="false" outlineLevel="0" collapsed="false">
      <c r="A106" s="7" t="s">
        <v>86</v>
      </c>
      <c r="B106" s="9" t="n">
        <v>0.1</v>
      </c>
      <c r="C106" s="2"/>
    </row>
    <row r="107" customFormat="false" ht="15" hidden="false" customHeight="false" outlineLevel="0" collapsed="false">
      <c r="A107" s="7" t="s">
        <v>98</v>
      </c>
      <c r="B107" s="21" t="n">
        <v>2</v>
      </c>
      <c r="C107" s="2"/>
    </row>
    <row r="108" customFormat="false" ht="15" hidden="false" customHeight="false" outlineLevel="0" collapsed="false">
      <c r="A108" s="7" t="s">
        <v>99</v>
      </c>
      <c r="B108" s="10" t="n">
        <v>20</v>
      </c>
      <c r="C108" s="2"/>
    </row>
    <row r="109" customFormat="false" ht="15" hidden="false" customHeight="false" outlineLevel="0" collapsed="false">
      <c r="A109" s="11" t="s">
        <v>11</v>
      </c>
      <c r="B109" s="12" t="n">
        <f aca="false">B105*(1+B106/B107)^(B108*B107)</f>
        <v>703.998871212466</v>
      </c>
      <c r="C109" s="2" t="s">
        <v>100</v>
      </c>
    </row>
    <row r="111" customFormat="false" ht="16.15" hidden="false" customHeight="false" outlineLevel="0" collapsed="false">
      <c r="A111" s="3" t="s">
        <v>101</v>
      </c>
      <c r="B111" s="4"/>
      <c r="C111" s="5" t="s">
        <v>102</v>
      </c>
    </row>
    <row r="112" customFormat="false" ht="30" hidden="false" customHeight="true" outlineLevel="0" collapsed="false">
      <c r="C112" s="6" t="s">
        <v>103</v>
      </c>
    </row>
    <row r="113" customFormat="false" ht="15" hidden="false" customHeight="false" outlineLevel="0" collapsed="false">
      <c r="A113" s="7" t="s">
        <v>104</v>
      </c>
      <c r="B113" s="21" t="n">
        <v>14</v>
      </c>
      <c r="C113" s="2"/>
    </row>
    <row r="114" customFormat="false" ht="15" hidden="false" customHeight="false" outlineLevel="0" collapsed="false">
      <c r="A114" s="7" t="s">
        <v>105</v>
      </c>
      <c r="B114" s="8" t="n">
        <v>117</v>
      </c>
      <c r="C114" s="2"/>
    </row>
    <row r="115" customFormat="false" ht="15" hidden="false" customHeight="false" outlineLevel="0" collapsed="false">
      <c r="A115" s="11" t="s">
        <v>106</v>
      </c>
      <c r="B115" s="13" t="n">
        <f aca="false">365/B113*(B114/100-1)</f>
        <v>4.43214285714286</v>
      </c>
      <c r="C115" s="2" t="s">
        <v>107</v>
      </c>
    </row>
    <row r="116" customFormat="false" ht="15" hidden="false" customHeight="false" outlineLevel="0" collapsed="false">
      <c r="A116" s="11" t="s">
        <v>89</v>
      </c>
      <c r="B116" s="23" t="n">
        <f aca="false">(1+B114/100-1)^(365/B113)-1</f>
        <v>58.9380795920757</v>
      </c>
      <c r="C116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6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24" t="s">
        <v>109</v>
      </c>
    </row>
    <row r="3" customFormat="false" ht="15" hidden="false" customHeight="false" outlineLevel="0" collapsed="false">
      <c r="A3" s="25" t="s">
        <v>110</v>
      </c>
      <c r="B3" s="25" t="s">
        <v>111</v>
      </c>
      <c r="C3" s="25" t="s">
        <v>112</v>
      </c>
    </row>
    <row r="4" customFormat="false" ht="31.5" hidden="false" customHeight="true" outlineLevel="0" collapsed="false">
      <c r="A4" s="26" t="s">
        <v>113</v>
      </c>
      <c r="B4" s="27" t="s">
        <v>114</v>
      </c>
      <c r="C4" s="27" t="s">
        <v>115</v>
      </c>
    </row>
    <row r="5" customFormat="false" ht="31.5" hidden="false" customHeight="true" outlineLevel="0" collapsed="false">
      <c r="A5" s="26" t="s">
        <v>116</v>
      </c>
      <c r="B5" s="27" t="s">
        <v>117</v>
      </c>
      <c r="C5" s="27" t="s">
        <v>118</v>
      </c>
    </row>
    <row r="6" customFormat="false" ht="31.5" hidden="false" customHeight="true" outlineLevel="0" collapsed="false">
      <c r="A6" s="26" t="s">
        <v>119</v>
      </c>
      <c r="B6" s="27" t="s">
        <v>120</v>
      </c>
      <c r="C6" s="27" t="s">
        <v>121</v>
      </c>
    </row>
    <row r="7" customFormat="false" ht="31.5" hidden="false" customHeight="true" outlineLevel="0" collapsed="false">
      <c r="A7" s="26" t="s">
        <v>122</v>
      </c>
      <c r="B7" s="27" t="s">
        <v>123</v>
      </c>
      <c r="C7" s="27" t="s">
        <v>124</v>
      </c>
    </row>
    <row r="8" customFormat="false" ht="31.5" hidden="false" customHeight="true" outlineLevel="0" collapsed="false">
      <c r="A8" s="26" t="s">
        <v>125</v>
      </c>
      <c r="B8" s="27" t="s">
        <v>126</v>
      </c>
      <c r="C8" s="27" t="s">
        <v>127</v>
      </c>
    </row>
    <row r="9" customFormat="false" ht="31.5" hidden="false" customHeight="true" outlineLevel="0" collapsed="false">
      <c r="A9" s="26" t="s">
        <v>128</v>
      </c>
      <c r="B9" s="27" t="s">
        <v>129</v>
      </c>
      <c r="C9" s="27" t="s">
        <v>130</v>
      </c>
    </row>
    <row r="10" customFormat="false" ht="31.5" hidden="false" customHeight="true" outlineLevel="0" collapsed="false">
      <c r="A10" s="26" t="s">
        <v>131</v>
      </c>
      <c r="B10" s="27" t="s">
        <v>132</v>
      </c>
      <c r="C10" s="27" t="s">
        <v>133</v>
      </c>
    </row>
    <row r="11" customFormat="false" ht="31.5" hidden="false" customHeight="true" outlineLevel="0" collapsed="false">
      <c r="A11" s="26" t="s">
        <v>134</v>
      </c>
      <c r="B11" s="27" t="s">
        <v>135</v>
      </c>
      <c r="C11" s="27" t="s">
        <v>136</v>
      </c>
    </row>
    <row r="12" customFormat="false" ht="31.5" hidden="false" customHeight="true" outlineLevel="0" collapsed="false">
      <c r="A12" s="26" t="s">
        <v>137</v>
      </c>
      <c r="B12" s="27" t="s">
        <v>138</v>
      </c>
      <c r="C12" s="27" t="s">
        <v>139</v>
      </c>
    </row>
    <row r="13" customFormat="false" ht="31.5" hidden="false" customHeight="true" outlineLevel="0" collapsed="false">
      <c r="A13" s="26" t="s">
        <v>140</v>
      </c>
      <c r="B13" s="27" t="s">
        <v>141</v>
      </c>
      <c r="C13" s="27" t="s">
        <v>142</v>
      </c>
    </row>
    <row r="14" customFormat="false" ht="31.5" hidden="false" customHeight="true" outlineLevel="0" collapsed="false">
      <c r="A14" s="26" t="s">
        <v>143</v>
      </c>
      <c r="B14" s="27" t="s">
        <v>144</v>
      </c>
      <c r="C14" s="27" t="s">
        <v>145</v>
      </c>
    </row>
    <row r="15" customFormat="false" ht="31.5" hidden="false" customHeight="true" outlineLevel="0" collapsed="false">
      <c r="A15" s="26" t="s">
        <v>146</v>
      </c>
      <c r="B15" s="27" t="s">
        <v>147</v>
      </c>
      <c r="C15" s="27" t="s">
        <v>148</v>
      </c>
    </row>
    <row r="16" customFormat="false" ht="31.5" hidden="false" customHeight="true" outlineLevel="0" collapsed="false">
      <c r="A16" s="26" t="s">
        <v>149</v>
      </c>
      <c r="B16" s="27" t="s">
        <v>150</v>
      </c>
      <c r="C16" s="27" t="s">
        <v>151</v>
      </c>
    </row>
    <row r="17" customFormat="false" ht="31.5" hidden="false" customHeight="true" outlineLevel="0" collapsed="false">
      <c r="A17" s="26" t="s">
        <v>152</v>
      </c>
      <c r="B17" s="27" t="s">
        <v>153</v>
      </c>
      <c r="C17" s="27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2026-09-24T02:45:49Z</dcterms:created>
  <dc:creator>openpyxl</dc:creator>
  <dc:description/>
  <dc:language>en-US</dc:language>
  <cp:lastModifiedBy/>
  <dcterms:modified xsi:type="dcterms:W3CDTF">2026-09-24T02:45:49Z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